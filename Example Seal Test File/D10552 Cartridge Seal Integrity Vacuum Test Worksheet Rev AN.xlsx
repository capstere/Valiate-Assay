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drawings/drawing4.xml" ContentType="application/vnd.openxmlformats-officedocument.drawing+xml"/>
  <Override PartName="/xl/ctrlProps/ctrlProp4.xml" ContentType="application/vnd.ms-excel.controlpropertie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codeName="ThisWorkbook"/>
  <mc:AlternateContent xmlns:mc="http://schemas.openxmlformats.org/markup-compatibility/2006">
    <mc:Choice Requires="x15">
      <x15ac:absPath xmlns:x15ac="http://schemas.microsoft.com/office/spreadsheetml/2010/11/ac" url="https://d.docs.live.net/3db492525204340e/LABGURU 20250108/20250108/"/>
    </mc:Choice>
  </mc:AlternateContent>
  <xr:revisionPtr revIDLastSave="1" documentId="13_ncr:1_{48BBA4D4-8D49-8C48-A32E-42A9ACA3D9A2}" xr6:coauthVersionLast="47" xr6:coauthVersionMax="47" xr10:uidLastSave="{BF346366-A96A-D44C-B0D9-C22926EA1F51}"/>
  <bookViews>
    <workbookView xWindow="1280" yWindow="620" windowWidth="25800" windowHeight="15100" tabRatio="904" activeTab="1" xr2:uid="{00000000-000D-0000-FFFF-FFFF00000000}"/>
  </bookViews>
  <sheets>
    <sheet name="Worksheet Instructions" sheetId="1" r:id="rId1"/>
    <sheet name="Datasheet (1)" sheetId="2" r:id="rId2"/>
    <sheet name="Datasheet (2)" sheetId="3" r:id="rId3"/>
    <sheet name="Datasheet (3)" sheetId="4" r:id="rId4"/>
    <sheet name="Datasheet (4)" sheetId="5" r:id="rId5"/>
    <sheet name="Datasheet (5)" sheetId="6" r:id="rId6"/>
    <sheet name="Datasheet (6)" sheetId="7" r:id="rId7"/>
    <sheet name="Datasheet (7)" sheetId="8" r:id="rId8"/>
    <sheet name="Datasheet (8)" sheetId="9" r:id="rId9"/>
    <sheet name="Datasheet (9)" sheetId="10" r:id="rId10"/>
    <sheet name="Datasheet (10)" sheetId="11" r:id="rId11"/>
    <sheet name="Replacement Cartridge (11)" sheetId="12" r:id="rId12"/>
    <sheet name="Replacement Cartridge (12)" sheetId="13" r:id="rId13"/>
    <sheet name="Replacement Cartridge (13)" sheetId="14" r:id="rId14"/>
  </sheets>
  <definedNames>
    <definedName name="_pn100" localSheetId="1">#REF!</definedName>
    <definedName name="_pn100" localSheetId="10">#REF!</definedName>
    <definedName name="_pn100" localSheetId="2">#REF!</definedName>
    <definedName name="_pn100" localSheetId="3">#REF!</definedName>
    <definedName name="_pn100" localSheetId="4">#REF!</definedName>
    <definedName name="_pn100" localSheetId="5">#REF!</definedName>
    <definedName name="_pn100" localSheetId="6">#REF!</definedName>
    <definedName name="_pn100" localSheetId="7">#REF!</definedName>
    <definedName name="_pn100" localSheetId="8">#REF!</definedName>
    <definedName name="_pn100" localSheetId="9">#REF!</definedName>
    <definedName name="_pn100" localSheetId="11">#REF!</definedName>
    <definedName name="_pn100" localSheetId="12">#REF!</definedName>
    <definedName name="_pn100" localSheetId="13">#REF!</definedName>
    <definedName name="_pn100">#REF!</definedName>
    <definedName name="_pn25" localSheetId="1">#REF!</definedName>
    <definedName name="_pn25" localSheetId="10">#REF!</definedName>
    <definedName name="_pn25" localSheetId="2">#REF!</definedName>
    <definedName name="_pn25" localSheetId="3">#REF!</definedName>
    <definedName name="_pn25" localSheetId="4">#REF!</definedName>
    <definedName name="_pn25" localSheetId="5">#REF!</definedName>
    <definedName name="_pn25" localSheetId="6">#REF!</definedName>
    <definedName name="_pn25" localSheetId="7">#REF!</definedName>
    <definedName name="_pn25" localSheetId="8">#REF!</definedName>
    <definedName name="_pn25" localSheetId="9">#REF!</definedName>
    <definedName name="_pn25" localSheetId="11">#REF!</definedName>
    <definedName name="_pn25" localSheetId="12">#REF!</definedName>
    <definedName name="_pn25" localSheetId="13">#REF!</definedName>
    <definedName name="_pn25">#REF!</definedName>
    <definedName name="distalavg" localSheetId="1">#REF!</definedName>
    <definedName name="distalavg" localSheetId="10">#REF!</definedName>
    <definedName name="distalavg" localSheetId="2">#REF!</definedName>
    <definedName name="distalavg" localSheetId="3">#REF!</definedName>
    <definedName name="distalavg" localSheetId="4">#REF!</definedName>
    <definedName name="distalavg" localSheetId="5">#REF!</definedName>
    <definedName name="distalavg" localSheetId="6">#REF!</definedName>
    <definedName name="distalavg" localSheetId="7">#REF!</definedName>
    <definedName name="distalavg" localSheetId="8">#REF!</definedName>
    <definedName name="distalavg" localSheetId="9">#REF!</definedName>
    <definedName name="distalavg" localSheetId="11">#REF!</definedName>
    <definedName name="distalavg" localSheetId="12">#REF!</definedName>
    <definedName name="distalavg" localSheetId="13">#REF!</definedName>
    <definedName name="distalavg">#REF!</definedName>
    <definedName name="distalavg100">#REF!</definedName>
    <definedName name="distalavgCA" localSheetId="1">#REF!</definedName>
    <definedName name="distalavgCA" localSheetId="10">#REF!</definedName>
    <definedName name="distalavgCA" localSheetId="2">#REF!</definedName>
    <definedName name="distalavgCA" localSheetId="3">#REF!</definedName>
    <definedName name="distalavgCA" localSheetId="4">#REF!</definedName>
    <definedName name="distalavgCA" localSheetId="5">#REF!</definedName>
    <definedName name="distalavgCA" localSheetId="6">#REF!</definedName>
    <definedName name="distalavgCA" localSheetId="7">#REF!</definedName>
    <definedName name="distalavgCA" localSheetId="8">#REF!</definedName>
    <definedName name="distalavgCA" localSheetId="9">#REF!</definedName>
    <definedName name="distalavgCA" localSheetId="11">#REF!</definedName>
    <definedName name="distalavgCA" localSheetId="12">#REF!</definedName>
    <definedName name="distalavgCA" localSheetId="13">#REF!</definedName>
    <definedName name="distalavgCA">#REF!</definedName>
    <definedName name="distalfailactual" localSheetId="1">#REF!</definedName>
    <definedName name="distalfailactual" localSheetId="10">#REF!</definedName>
    <definedName name="distalfailactual" localSheetId="2">#REF!</definedName>
    <definedName name="distalfailactual" localSheetId="3">#REF!</definedName>
    <definedName name="distalfailactual" localSheetId="4">#REF!</definedName>
    <definedName name="distalfailactual" localSheetId="5">#REF!</definedName>
    <definedName name="distalfailactual" localSheetId="6">#REF!</definedName>
    <definedName name="distalfailactual" localSheetId="7">#REF!</definedName>
    <definedName name="distalfailactual" localSheetId="8">#REF!</definedName>
    <definedName name="distalfailactual" localSheetId="9">#REF!</definedName>
    <definedName name="distalfailactual" localSheetId="11">#REF!</definedName>
    <definedName name="distalfailactual" localSheetId="12">#REF!</definedName>
    <definedName name="distalfailactual" localSheetId="13">#REF!</definedName>
    <definedName name="distalfailactual">#REF!</definedName>
    <definedName name="distalfailactual100">#REF!</definedName>
    <definedName name="distalmax">#REF!</definedName>
    <definedName name="distalmax100">#REF!</definedName>
    <definedName name="distalmin100">#REF!</definedName>
    <definedName name="edgeavg">#REF!</definedName>
    <definedName name="edgeavg100">#REF!</definedName>
    <definedName name="edgemax">#REF!</definedName>
    <definedName name="edgemax100">#REF!</definedName>
    <definedName name="edgemin">#REF!</definedName>
    <definedName name="edgemin100">#REF!</definedName>
    <definedName name="firstdistalvalue" localSheetId="1">#REF!</definedName>
    <definedName name="firstdistalvalue" localSheetId="10">#REF!</definedName>
    <definedName name="firstdistalvalue" localSheetId="2">#REF!</definedName>
    <definedName name="firstdistalvalue" localSheetId="3">#REF!</definedName>
    <definedName name="firstdistalvalue" localSheetId="4">#REF!</definedName>
    <definedName name="firstdistalvalue" localSheetId="5">#REF!</definedName>
    <definedName name="firstdistalvalue" localSheetId="6">#REF!</definedName>
    <definedName name="firstdistalvalue" localSheetId="7">#REF!</definedName>
    <definedName name="firstdistalvalue" localSheetId="8">#REF!</definedName>
    <definedName name="firstdistalvalue" localSheetId="9">#REF!</definedName>
    <definedName name="firstdistalvalue" localSheetId="11">#REF!</definedName>
    <definedName name="firstdistalvalue" localSheetId="12">#REF!</definedName>
    <definedName name="firstdistalvalue" localSheetId="13">#REF!</definedName>
    <definedName name="firstdistalvalue">#REF!</definedName>
    <definedName name="firstdistalvalue100">#REF!</definedName>
    <definedName name="firsttipvalue">#REF!</definedName>
    <definedName name="firsttipvalue100">#REF!</definedName>
    <definedName name="nabox">"nabox"</definedName>
    <definedName name="nextday" localSheetId="0">#REF!</definedName>
    <definedName name="nextday">#REF!</definedName>
    <definedName name="nobox">"nobox"</definedName>
    <definedName name="partnumber" localSheetId="1">#REF!</definedName>
    <definedName name="partnumber" localSheetId="10">#REF!</definedName>
    <definedName name="partnumber" localSheetId="2">#REF!</definedName>
    <definedName name="partnumber" localSheetId="3">#REF!</definedName>
    <definedName name="partnumber" localSheetId="4">#REF!</definedName>
    <definedName name="partnumber" localSheetId="5">#REF!</definedName>
    <definedName name="partnumber" localSheetId="6">#REF!</definedName>
    <definedName name="partnumber" localSheetId="7">#REF!</definedName>
    <definedName name="partnumber" localSheetId="8">#REF!</definedName>
    <definedName name="partnumber" localSheetId="9">#REF!</definedName>
    <definedName name="partnumber" localSheetId="11">#REF!</definedName>
    <definedName name="partnumber" localSheetId="12">#REF!</definedName>
    <definedName name="partnumber" localSheetId="13">#REF!</definedName>
    <definedName name="partnumber">#REF!</definedName>
    <definedName name="partnumber100">#REF!</definedName>
    <definedName name="partnumberpcr">#REF!</definedName>
    <definedName name="partnumberpcr100">#REF!</definedName>
    <definedName name="partnumbertc">#REF!</definedName>
    <definedName name="partnumberthick">#REF!</definedName>
    <definedName name="partnumberthick100">#REF!</definedName>
    <definedName name="PartsReceived">#REF!</definedName>
    <definedName name="PartsReceived100">#REF!</definedName>
    <definedName name="post25fail" localSheetId="1">#REF!</definedName>
    <definedName name="post25fail" localSheetId="10">#REF!</definedName>
    <definedName name="post25fail" localSheetId="2">#REF!</definedName>
    <definedName name="post25fail" localSheetId="3">#REF!</definedName>
    <definedName name="post25fail" localSheetId="4">#REF!</definedName>
    <definedName name="post25fail" localSheetId="5">#REF!</definedName>
    <definedName name="post25fail" localSheetId="6">#REF!</definedName>
    <definedName name="post25fail" localSheetId="7">#REF!</definedName>
    <definedName name="post25fail" localSheetId="8">#REF!</definedName>
    <definedName name="post25fail" localSheetId="9">#REF!</definedName>
    <definedName name="post25fail" localSheetId="11">#REF!</definedName>
    <definedName name="post25fail" localSheetId="12">#REF!</definedName>
    <definedName name="post25fail" localSheetId="13">#REF!</definedName>
    <definedName name="post25fail">#REF!</definedName>
    <definedName name="postactual" localSheetId="1">#REF!</definedName>
    <definedName name="postactual" localSheetId="10">#REF!</definedName>
    <definedName name="postactual" localSheetId="2">#REF!</definedName>
    <definedName name="postactual" localSheetId="3">#REF!</definedName>
    <definedName name="postactual" localSheetId="4">#REF!</definedName>
    <definedName name="postactual" localSheetId="5">#REF!</definedName>
    <definedName name="postactual" localSheetId="6">#REF!</definedName>
    <definedName name="postactual" localSheetId="7">#REF!</definedName>
    <definedName name="postactual" localSheetId="8">#REF!</definedName>
    <definedName name="postactual" localSheetId="9">#REF!</definedName>
    <definedName name="postactual" localSheetId="11">#REF!</definedName>
    <definedName name="postactual" localSheetId="12">#REF!</definedName>
    <definedName name="postactual" localSheetId="13">#REF!</definedName>
    <definedName name="postactual">#REF!</definedName>
    <definedName name="postactual100">#REF!</definedName>
    <definedName name="postavg">#REF!</definedName>
    <definedName name="posttc" localSheetId="1">#REF!</definedName>
    <definedName name="posttc" localSheetId="10">#REF!</definedName>
    <definedName name="posttc" localSheetId="2">#REF!</definedName>
    <definedName name="posttc" localSheetId="3">#REF!</definedName>
    <definedName name="posttc" localSheetId="4">#REF!</definedName>
    <definedName name="posttc" localSheetId="5">#REF!</definedName>
    <definedName name="posttc" localSheetId="6">#REF!</definedName>
    <definedName name="posttc" localSheetId="7">#REF!</definedName>
    <definedName name="posttc" localSheetId="8">#REF!</definedName>
    <definedName name="posttc" localSheetId="9">#REF!</definedName>
    <definedName name="posttc" localSheetId="11">#REF!</definedName>
    <definedName name="posttc" localSheetId="12">#REF!</definedName>
    <definedName name="posttc" localSheetId="13">#REF!</definedName>
    <definedName name="posttc">#REF!</definedName>
    <definedName name="posttc100">#REF!</definedName>
    <definedName name="pre25fail" localSheetId="1">#REF!</definedName>
    <definedName name="pre25fail" localSheetId="10">#REF!</definedName>
    <definedName name="pre25fail" localSheetId="2">#REF!</definedName>
    <definedName name="pre25fail" localSheetId="3">#REF!</definedName>
    <definedName name="pre25fail" localSheetId="4">#REF!</definedName>
    <definedName name="pre25fail" localSheetId="5">#REF!</definedName>
    <definedName name="pre25fail" localSheetId="6">#REF!</definedName>
    <definedName name="pre25fail" localSheetId="7">#REF!</definedName>
    <definedName name="pre25fail" localSheetId="8">#REF!</definedName>
    <definedName name="pre25fail" localSheetId="9">#REF!</definedName>
    <definedName name="pre25fail" localSheetId="11">#REF!</definedName>
    <definedName name="pre25fail" localSheetId="12">#REF!</definedName>
    <definedName name="pre25fail" localSheetId="13">#REF!</definedName>
    <definedName name="pre25fail">#REF!</definedName>
    <definedName name="preactual" localSheetId="1">#REF!</definedName>
    <definedName name="preactual" localSheetId="10">#REF!</definedName>
    <definedName name="preactual" localSheetId="2">#REF!</definedName>
    <definedName name="preactual" localSheetId="3">#REF!</definedName>
    <definedName name="preactual" localSheetId="4">#REF!</definedName>
    <definedName name="preactual" localSheetId="5">#REF!</definedName>
    <definedName name="preactual" localSheetId="6">#REF!</definedName>
    <definedName name="preactual" localSheetId="7">#REF!</definedName>
    <definedName name="preactual" localSheetId="8">#REF!</definedName>
    <definedName name="preactual" localSheetId="9">#REF!</definedName>
    <definedName name="preactual" localSheetId="11">#REF!</definedName>
    <definedName name="preactual" localSheetId="12">#REF!</definedName>
    <definedName name="preactual" localSheetId="13">#REF!</definedName>
    <definedName name="preactual">#REF!</definedName>
    <definedName name="preactual100">#REF!</definedName>
    <definedName name="preavg">#REF!</definedName>
    <definedName name="pretc" localSheetId="1">#REF!</definedName>
    <definedName name="pretc" localSheetId="10">#REF!</definedName>
    <definedName name="pretc" localSheetId="2">#REF!</definedName>
    <definedName name="pretc" localSheetId="3">#REF!</definedName>
    <definedName name="pretc" localSheetId="4">#REF!</definedName>
    <definedName name="pretc" localSheetId="5">#REF!</definedName>
    <definedName name="pretc" localSheetId="6">#REF!</definedName>
    <definedName name="pretc" localSheetId="7">#REF!</definedName>
    <definedName name="pretc" localSheetId="8">#REF!</definedName>
    <definedName name="pretc" localSheetId="9">#REF!</definedName>
    <definedName name="pretc" localSheetId="11">#REF!</definedName>
    <definedName name="pretc" localSheetId="12">#REF!</definedName>
    <definedName name="pretc" localSheetId="13">#REF!</definedName>
    <definedName name="pretc">#REF!</definedName>
    <definedName name="pretc100">#REF!</definedName>
    <definedName name="Print_Area100" localSheetId="0">#REF!</definedName>
    <definedName name="Print_Area100">#REF!</definedName>
    <definedName name="RejetAllow" localSheetId="1">#REF!</definedName>
    <definedName name="RejetAllow" localSheetId="10">#REF!</definedName>
    <definedName name="RejetAllow" localSheetId="2">#REF!</definedName>
    <definedName name="RejetAllow" localSheetId="3">#REF!</definedName>
    <definedName name="RejetAllow" localSheetId="4">#REF!</definedName>
    <definedName name="RejetAllow" localSheetId="5">#REF!</definedName>
    <definedName name="RejetAllow" localSheetId="6">#REF!</definedName>
    <definedName name="RejetAllow" localSheetId="7">#REF!</definedName>
    <definedName name="RejetAllow" localSheetId="8">#REF!</definedName>
    <definedName name="RejetAllow" localSheetId="9">#REF!</definedName>
    <definedName name="RejetAllow" localSheetId="11">#REF!</definedName>
    <definedName name="RejetAllow" localSheetId="12">#REF!</definedName>
    <definedName name="RejetAllow" localSheetId="13">#REF!</definedName>
    <definedName name="RejetAllow">#REF!</definedName>
    <definedName name="RejetAllow100">#REF!</definedName>
    <definedName name="ROBAL" localSheetId="0">'Worksheet Instructions'!$E$16:$E$24</definedName>
    <definedName name="SampleSize" localSheetId="0">#REF!</definedName>
    <definedName name="SampleSize">#REF!</definedName>
    <definedName name="SampleSize100">#REF!</definedName>
    <definedName name="samplesizetherm">#REF!</definedName>
    <definedName name="scale">#REF!</definedName>
    <definedName name="tipavg">#REF!</definedName>
    <definedName name="tipavg100">#REF!</definedName>
    <definedName name="tipfailactual" localSheetId="1">#REF!</definedName>
    <definedName name="tipfailactual" localSheetId="10">#REF!</definedName>
    <definedName name="tipfailactual" localSheetId="2">#REF!</definedName>
    <definedName name="tipfailactual" localSheetId="3">#REF!</definedName>
    <definedName name="tipfailactual" localSheetId="4">#REF!</definedName>
    <definedName name="tipfailactual" localSheetId="5">#REF!</definedName>
    <definedName name="tipfailactual" localSheetId="6">#REF!</definedName>
    <definedName name="tipfailactual" localSheetId="7">#REF!</definedName>
    <definedName name="tipfailactual" localSheetId="8">#REF!</definedName>
    <definedName name="tipfailactual" localSheetId="9">#REF!</definedName>
    <definedName name="tipfailactual" localSheetId="11">#REF!</definedName>
    <definedName name="tipfailactual" localSheetId="12">#REF!</definedName>
    <definedName name="tipfailactual" localSheetId="13">#REF!</definedName>
    <definedName name="tipfailactual">#REF!</definedName>
    <definedName name="tipfailactual100">#REF!</definedName>
    <definedName name="tipfailtotal">#REF!</definedName>
    <definedName name="tipfailtotal100" localSheetId="1">#REF!</definedName>
    <definedName name="tipfailtotal100" localSheetId="10">#REF!</definedName>
    <definedName name="tipfailtotal100" localSheetId="2">#REF!</definedName>
    <definedName name="tipfailtotal100" localSheetId="3">#REF!</definedName>
    <definedName name="tipfailtotal100" localSheetId="4">#REF!</definedName>
    <definedName name="tipfailtotal100" localSheetId="5">#REF!</definedName>
    <definedName name="tipfailtotal100" localSheetId="6">#REF!</definedName>
    <definedName name="tipfailtotal100" localSheetId="7">#REF!</definedName>
    <definedName name="tipfailtotal100" localSheetId="8">#REF!</definedName>
    <definedName name="tipfailtotal100" localSheetId="9">#REF!</definedName>
    <definedName name="tipfailtotal100" localSheetId="11">#REF!</definedName>
    <definedName name="tipfailtotal100" localSheetId="12">#REF!</definedName>
    <definedName name="tipfailtotal100" localSheetId="13">#REF!</definedName>
    <definedName name="tipfailtotal100">#REF!</definedName>
    <definedName name="tipmax">#REF!</definedName>
    <definedName name="tipmax100">#REF!</definedName>
    <definedName name="tipmaxspec" localSheetId="1">#REF!</definedName>
    <definedName name="tipmaxspec" localSheetId="10">#REF!</definedName>
    <definedName name="tipmaxspec" localSheetId="2">#REF!</definedName>
    <definedName name="tipmaxspec" localSheetId="3">#REF!</definedName>
    <definedName name="tipmaxspec" localSheetId="4">#REF!</definedName>
    <definedName name="tipmaxspec" localSheetId="5">#REF!</definedName>
    <definedName name="tipmaxspec" localSheetId="6">#REF!</definedName>
    <definedName name="tipmaxspec" localSheetId="7">#REF!</definedName>
    <definedName name="tipmaxspec" localSheetId="8">#REF!</definedName>
    <definedName name="tipmaxspec" localSheetId="9">#REF!</definedName>
    <definedName name="tipmaxspec" localSheetId="11">#REF!</definedName>
    <definedName name="tipmaxspec" localSheetId="12">#REF!</definedName>
    <definedName name="tipmaxspec" localSheetId="13">#REF!</definedName>
    <definedName name="tipmaxspec">#REF!</definedName>
    <definedName name="tipmaxspec100">#REF!</definedName>
    <definedName name="tipmin">#REF!</definedName>
    <definedName name="tipmin100">#REF!</definedName>
    <definedName name="tipminspec" localSheetId="1">#REF!</definedName>
    <definedName name="tipminspec" localSheetId="10">#REF!</definedName>
    <definedName name="tipminspec" localSheetId="2">#REF!</definedName>
    <definedName name="tipminspec" localSheetId="3">#REF!</definedName>
    <definedName name="tipminspec" localSheetId="4">#REF!</definedName>
    <definedName name="tipminspec" localSheetId="5">#REF!</definedName>
    <definedName name="tipminspec" localSheetId="6">#REF!</definedName>
    <definedName name="tipminspec" localSheetId="7">#REF!</definedName>
    <definedName name="tipminspec" localSheetId="8">#REF!</definedName>
    <definedName name="tipminspec" localSheetId="9">#REF!</definedName>
    <definedName name="tipminspec" localSheetId="11">#REF!</definedName>
    <definedName name="tipminspec" localSheetId="12">#REF!</definedName>
    <definedName name="tipminspec" localSheetId="13">#REF!</definedName>
    <definedName name="tipminspec">#REF!</definedName>
    <definedName name="tipminspec100">#REF!</definedName>
    <definedName name="topfailtotal" localSheetId="1">#REF!</definedName>
    <definedName name="topfailtotal" localSheetId="10">#REF!</definedName>
    <definedName name="topfailtotal" localSheetId="2">#REF!</definedName>
    <definedName name="topfailtotal" localSheetId="3">#REF!</definedName>
    <definedName name="topfailtotal" localSheetId="4">#REF!</definedName>
    <definedName name="topfailtotal" localSheetId="5">#REF!</definedName>
    <definedName name="topfailtotal" localSheetId="6">#REF!</definedName>
    <definedName name="topfailtotal" localSheetId="7">#REF!</definedName>
    <definedName name="topfailtotal" localSheetId="8">#REF!</definedName>
    <definedName name="topfailtotal" localSheetId="9">#REF!</definedName>
    <definedName name="topfailtotal" localSheetId="11">#REF!</definedName>
    <definedName name="topfailtotal" localSheetId="12">#REF!</definedName>
    <definedName name="topfailtotal" localSheetId="13">#REF!</definedName>
    <definedName name="topfailtotal">#REF!</definedName>
    <definedName name="topfailtotal100" localSheetId="1">#REF!</definedName>
    <definedName name="topfailtotal100" localSheetId="10">#REF!</definedName>
    <definedName name="topfailtotal100" localSheetId="2">#REF!</definedName>
    <definedName name="topfailtotal100" localSheetId="3">#REF!</definedName>
    <definedName name="topfailtotal100" localSheetId="4">#REF!</definedName>
    <definedName name="topfailtotal100" localSheetId="5">#REF!</definedName>
    <definedName name="topfailtotal100" localSheetId="6">#REF!</definedName>
    <definedName name="topfailtotal100" localSheetId="7">#REF!</definedName>
    <definedName name="topfailtotal100" localSheetId="8">#REF!</definedName>
    <definedName name="topfailtotal100" localSheetId="9">#REF!</definedName>
    <definedName name="topfailtotal100" localSheetId="11">#REF!</definedName>
    <definedName name="topfailtotal100" localSheetId="12">#REF!</definedName>
    <definedName name="topfailtotal100" localSheetId="13">#REF!</definedName>
    <definedName name="topfailtotal100">#REF!</definedName>
    <definedName name="topmaxspec" localSheetId="1">#REF!</definedName>
    <definedName name="topmaxspec" localSheetId="10">#REF!</definedName>
    <definedName name="topmaxspec" localSheetId="2">#REF!</definedName>
    <definedName name="topmaxspec" localSheetId="3">#REF!</definedName>
    <definedName name="topmaxspec" localSheetId="4">#REF!</definedName>
    <definedName name="topmaxspec" localSheetId="5">#REF!</definedName>
    <definedName name="topmaxspec" localSheetId="6">#REF!</definedName>
    <definedName name="topmaxspec" localSheetId="7">#REF!</definedName>
    <definedName name="topmaxspec" localSheetId="8">#REF!</definedName>
    <definedName name="topmaxspec" localSheetId="9">#REF!</definedName>
    <definedName name="topmaxspec" localSheetId="11">#REF!</definedName>
    <definedName name="topmaxspec" localSheetId="12">#REF!</definedName>
    <definedName name="topmaxspec" localSheetId="13">#REF!</definedName>
    <definedName name="topmaxspec">#REF!</definedName>
    <definedName name="topmaxspec100">#REF!</definedName>
    <definedName name="topminspec" localSheetId="1">#REF!</definedName>
    <definedName name="topminspec" localSheetId="10">#REF!</definedName>
    <definedName name="topminspec" localSheetId="2">#REF!</definedName>
    <definedName name="topminspec" localSheetId="3">#REF!</definedName>
    <definedName name="topminspec" localSheetId="4">#REF!</definedName>
    <definedName name="topminspec" localSheetId="5">#REF!</definedName>
    <definedName name="topminspec" localSheetId="6">#REF!</definedName>
    <definedName name="topminspec" localSheetId="7">#REF!</definedName>
    <definedName name="topminspec" localSheetId="8">#REF!</definedName>
    <definedName name="topminspec" localSheetId="9">#REF!</definedName>
    <definedName name="topminspec" localSheetId="11">#REF!</definedName>
    <definedName name="topminspec" localSheetId="12">#REF!</definedName>
    <definedName name="topminspec" localSheetId="13">#REF!</definedName>
    <definedName name="topminspec">#REF!</definedName>
    <definedName name="topminspec100">#REF!</definedName>
    <definedName name="totalpassfail100" localSheetId="1">#REF!</definedName>
    <definedName name="totalpassfail100" localSheetId="10">#REF!</definedName>
    <definedName name="totalpassfail100" localSheetId="2">#REF!</definedName>
    <definedName name="totalpassfail100" localSheetId="3">#REF!</definedName>
    <definedName name="totalpassfail100" localSheetId="4">#REF!</definedName>
    <definedName name="totalpassfail100" localSheetId="5">#REF!</definedName>
    <definedName name="totalpassfail100" localSheetId="6">#REF!</definedName>
    <definedName name="totalpassfail100" localSheetId="7">#REF!</definedName>
    <definedName name="totalpassfail100" localSheetId="8">#REF!</definedName>
    <definedName name="totalpassfail100" localSheetId="9">#REF!</definedName>
    <definedName name="totalpassfail100" localSheetId="11">#REF!</definedName>
    <definedName name="totalpassfail100" localSheetId="12">#REF!</definedName>
    <definedName name="totalpassfail100" localSheetId="13">#REF!</definedName>
    <definedName name="totalpassfail100">#REF!</definedName>
    <definedName name="_xlnm.Print_Area" localSheetId="1">'Datasheet (1)'!$B$1:$M$57</definedName>
    <definedName name="_xlnm.Print_Area" localSheetId="10">'Datasheet (10)'!$A$1:$M$57</definedName>
    <definedName name="_xlnm.Print_Area" localSheetId="2">'Datasheet (2)'!$A$1:$M$57</definedName>
    <definedName name="_xlnm.Print_Area" localSheetId="3">'Datasheet (3)'!$A$1:$M$57</definedName>
    <definedName name="_xlnm.Print_Area" localSheetId="4">'Datasheet (4)'!$A$1:$M$57</definedName>
    <definedName name="_xlnm.Print_Area" localSheetId="5">'Datasheet (5)'!$A$1:$M$57</definedName>
    <definedName name="_xlnm.Print_Area" localSheetId="6">'Datasheet (6)'!$A$1:$M$57</definedName>
    <definedName name="_xlnm.Print_Area" localSheetId="7">'Datasheet (7)'!$A$1:$M$57</definedName>
    <definedName name="_xlnm.Print_Area" localSheetId="8">'Datasheet (8)'!$A$1:$M$57</definedName>
    <definedName name="_xlnm.Print_Area" localSheetId="9">'Datasheet (9)'!$A$1:$M$57</definedName>
    <definedName name="_xlnm.Print_Area" localSheetId="11">'Replacement Cartridge (11)'!$A$1:$N$57</definedName>
    <definedName name="_xlnm.Print_Area" localSheetId="12">'Replacement Cartridge (12)'!$A$1:$N$57</definedName>
    <definedName name="_xlnm.Print_Area" localSheetId="13">'Replacement Cartridge (13)'!$A$1:$N$57</definedName>
    <definedName name="_xlnm.Print_Area" localSheetId="0">'Worksheet Instructions'!$A$1:$M$67</definedName>
    <definedName name="x">#REF!</definedName>
    <definedName name="Z_0389F900_36E4_47B4_9211_C9631990552B_.wvu.PrintArea" localSheetId="1" hidden="1">'Datasheet (1)'!$B$1:$M$57</definedName>
    <definedName name="Z_0389F900_36E4_47B4_9211_C9631990552B_.wvu.PrintArea" localSheetId="10" hidden="1">'Datasheet (10)'!$A$1:$M$57</definedName>
    <definedName name="Z_0389F900_36E4_47B4_9211_C9631990552B_.wvu.PrintArea" localSheetId="2" hidden="1">'Datasheet (2)'!$A$1:$M$57</definedName>
    <definedName name="Z_0389F900_36E4_47B4_9211_C9631990552B_.wvu.PrintArea" localSheetId="3" hidden="1">'Datasheet (3)'!$A$1:$M$57</definedName>
    <definedName name="Z_0389F900_36E4_47B4_9211_C9631990552B_.wvu.PrintArea" localSheetId="4" hidden="1">'Datasheet (4)'!$A$1:$M$57</definedName>
    <definedName name="Z_0389F900_36E4_47B4_9211_C9631990552B_.wvu.PrintArea" localSheetId="5" hidden="1">'Datasheet (5)'!$A$1:$M$57</definedName>
    <definedName name="Z_0389F900_36E4_47B4_9211_C9631990552B_.wvu.PrintArea" localSheetId="6" hidden="1">'Datasheet (6)'!$A$1:$M$57</definedName>
    <definedName name="Z_0389F900_36E4_47B4_9211_C9631990552B_.wvu.PrintArea" localSheetId="7" hidden="1">'Datasheet (7)'!$A$1:$M$57</definedName>
    <definedName name="Z_0389F900_36E4_47B4_9211_C9631990552B_.wvu.PrintArea" localSheetId="8" hidden="1">'Datasheet (8)'!$A$1:$M$57</definedName>
    <definedName name="Z_0389F900_36E4_47B4_9211_C9631990552B_.wvu.PrintArea" localSheetId="9" hidden="1">'Datasheet (9)'!$A$1:$M$57</definedName>
    <definedName name="Z_0389F900_36E4_47B4_9211_C9631990552B_.wvu.PrintArea" localSheetId="11" hidden="1">'Replacement Cartridge (11)'!$A$1:$N$57</definedName>
    <definedName name="Z_0389F900_36E4_47B4_9211_C9631990552B_.wvu.PrintArea" localSheetId="12" hidden="1">'Replacement Cartridge (12)'!$A$1:$N$57</definedName>
    <definedName name="Z_0389F900_36E4_47B4_9211_C9631990552B_.wvu.PrintArea" localSheetId="13" hidden="1">'Replacement Cartridge (13)'!$A$1:$N$57</definedName>
    <definedName name="Z_0389F900_36E4_47B4_9211_C9631990552B_.wvu.PrintArea" localSheetId="0" hidden="1">'Worksheet Instructions'!$A$1:$M$67</definedName>
    <definedName name="Z_56C9F3FB_E1BF_4A84_A9C1_883C4971E148_.wvu.PrintArea" localSheetId="1" hidden="1">'Datasheet (1)'!$B$1:$M$57</definedName>
    <definedName name="Z_56C9F3FB_E1BF_4A84_A9C1_883C4971E148_.wvu.PrintArea" localSheetId="10" hidden="1">'Datasheet (10)'!$A$1:$M$57</definedName>
    <definedName name="Z_56C9F3FB_E1BF_4A84_A9C1_883C4971E148_.wvu.PrintArea" localSheetId="2" hidden="1">'Datasheet (2)'!$A$1:$M$57</definedName>
    <definedName name="Z_56C9F3FB_E1BF_4A84_A9C1_883C4971E148_.wvu.PrintArea" localSheetId="3" hidden="1">'Datasheet (3)'!$A$1:$M$57</definedName>
    <definedName name="Z_56C9F3FB_E1BF_4A84_A9C1_883C4971E148_.wvu.PrintArea" localSheetId="4" hidden="1">'Datasheet (4)'!$A$1:$M$57</definedName>
    <definedName name="Z_56C9F3FB_E1BF_4A84_A9C1_883C4971E148_.wvu.PrintArea" localSheetId="5" hidden="1">'Datasheet (5)'!$A$1:$M$57</definedName>
    <definedName name="Z_56C9F3FB_E1BF_4A84_A9C1_883C4971E148_.wvu.PrintArea" localSheetId="6" hidden="1">'Datasheet (6)'!$A$1:$M$57</definedName>
    <definedName name="Z_56C9F3FB_E1BF_4A84_A9C1_883C4971E148_.wvu.PrintArea" localSheetId="7" hidden="1">'Datasheet (7)'!$A$1:$M$57</definedName>
    <definedName name="Z_56C9F3FB_E1BF_4A84_A9C1_883C4971E148_.wvu.PrintArea" localSheetId="8" hidden="1">'Datasheet (8)'!$A$1:$M$57</definedName>
    <definedName name="Z_56C9F3FB_E1BF_4A84_A9C1_883C4971E148_.wvu.PrintArea" localSheetId="9" hidden="1">'Datasheet (9)'!$A$1:$M$57</definedName>
    <definedName name="Z_56C9F3FB_E1BF_4A84_A9C1_883C4971E148_.wvu.PrintArea" localSheetId="11" hidden="1">'Replacement Cartridge (11)'!$A$1:$N$57</definedName>
    <definedName name="Z_56C9F3FB_E1BF_4A84_A9C1_883C4971E148_.wvu.PrintArea" localSheetId="12" hidden="1">'Replacement Cartridge (12)'!$A$1:$N$57</definedName>
    <definedName name="Z_56C9F3FB_E1BF_4A84_A9C1_883C4971E148_.wvu.PrintArea" localSheetId="13" hidden="1">'Replacement Cartridge (13)'!$A$1:$N$57</definedName>
    <definedName name="Z_56C9F3FB_E1BF_4A84_A9C1_883C4971E148_.wvu.PrintArea" localSheetId="0" hidden="1">'Worksheet Instructions'!$A$1:$M$67</definedName>
    <definedName name="Z_93D8E372_F7EE_4EF2_BAF9_F99132763C7B_.wvu.PrintArea" localSheetId="1" hidden="1">'Datasheet (1)'!$B$1:$M$57</definedName>
    <definedName name="Z_93D8E372_F7EE_4EF2_BAF9_F99132763C7B_.wvu.PrintArea" localSheetId="10" hidden="1">'Datasheet (10)'!$A$1:$M$57</definedName>
    <definedName name="Z_93D8E372_F7EE_4EF2_BAF9_F99132763C7B_.wvu.PrintArea" localSheetId="2" hidden="1">'Datasheet (2)'!$A$1:$M$57</definedName>
    <definedName name="Z_93D8E372_F7EE_4EF2_BAF9_F99132763C7B_.wvu.PrintArea" localSheetId="3" hidden="1">'Datasheet (3)'!$A$1:$M$57</definedName>
    <definedName name="Z_93D8E372_F7EE_4EF2_BAF9_F99132763C7B_.wvu.PrintArea" localSheetId="4" hidden="1">'Datasheet (4)'!$A$1:$M$57</definedName>
    <definedName name="Z_93D8E372_F7EE_4EF2_BAF9_F99132763C7B_.wvu.PrintArea" localSheetId="5" hidden="1">'Datasheet (5)'!$A$1:$M$57</definedName>
    <definedName name="Z_93D8E372_F7EE_4EF2_BAF9_F99132763C7B_.wvu.PrintArea" localSheetId="6" hidden="1">'Datasheet (6)'!$A$1:$M$57</definedName>
    <definedName name="Z_93D8E372_F7EE_4EF2_BAF9_F99132763C7B_.wvu.PrintArea" localSheetId="7" hidden="1">'Datasheet (7)'!$A$1:$M$57</definedName>
    <definedName name="Z_93D8E372_F7EE_4EF2_BAF9_F99132763C7B_.wvu.PrintArea" localSheetId="8" hidden="1">'Datasheet (8)'!$A$1:$M$57</definedName>
    <definedName name="Z_93D8E372_F7EE_4EF2_BAF9_F99132763C7B_.wvu.PrintArea" localSheetId="9" hidden="1">'Datasheet (9)'!$A$1:$M$57</definedName>
    <definedName name="Z_93D8E372_F7EE_4EF2_BAF9_F99132763C7B_.wvu.PrintArea" localSheetId="11" hidden="1">'Replacement Cartridge (11)'!$A$1:$N$57</definedName>
    <definedName name="Z_93D8E372_F7EE_4EF2_BAF9_F99132763C7B_.wvu.PrintArea" localSheetId="12" hidden="1">'Replacement Cartridge (12)'!$A$1:$N$57</definedName>
    <definedName name="Z_93D8E372_F7EE_4EF2_BAF9_F99132763C7B_.wvu.PrintArea" localSheetId="13" hidden="1">'Replacement Cartridge (13)'!$A$1:$N$57</definedName>
    <definedName name="Z_93D8E372_F7EE_4EF2_BAF9_F99132763C7B_.wvu.PrintArea" localSheetId="0" hidden="1">'Worksheet Instructions'!$A$1:$M$67</definedName>
    <definedName name="Z_9FF8D058_850F_4928_A8DF_23EAF83DEA90_.wvu.PrintArea" localSheetId="1" hidden="1">'Datasheet (1)'!$B$1:$M$57</definedName>
    <definedName name="Z_9FF8D058_850F_4928_A8DF_23EAF83DEA90_.wvu.PrintArea" localSheetId="10" hidden="1">'Datasheet (10)'!$A$1:$M$57</definedName>
    <definedName name="Z_9FF8D058_850F_4928_A8DF_23EAF83DEA90_.wvu.PrintArea" localSheetId="2" hidden="1">'Datasheet (2)'!$A$1:$M$57</definedName>
    <definedName name="Z_9FF8D058_850F_4928_A8DF_23EAF83DEA90_.wvu.PrintArea" localSheetId="3" hidden="1">'Datasheet (3)'!$A$1:$M$57</definedName>
    <definedName name="Z_9FF8D058_850F_4928_A8DF_23EAF83DEA90_.wvu.PrintArea" localSheetId="4" hidden="1">'Datasheet (4)'!$A$1:$M$57</definedName>
    <definedName name="Z_9FF8D058_850F_4928_A8DF_23EAF83DEA90_.wvu.PrintArea" localSheetId="5" hidden="1">'Datasheet (5)'!$A$1:$M$57</definedName>
    <definedName name="Z_9FF8D058_850F_4928_A8DF_23EAF83DEA90_.wvu.PrintArea" localSheetId="6" hidden="1">'Datasheet (6)'!$A$1:$M$57</definedName>
    <definedName name="Z_9FF8D058_850F_4928_A8DF_23EAF83DEA90_.wvu.PrintArea" localSheetId="7" hidden="1">'Datasheet (7)'!$A$1:$M$57</definedName>
    <definedName name="Z_9FF8D058_850F_4928_A8DF_23EAF83DEA90_.wvu.PrintArea" localSheetId="8" hidden="1">'Datasheet (8)'!$A$1:$M$57</definedName>
    <definedName name="Z_9FF8D058_850F_4928_A8DF_23EAF83DEA90_.wvu.PrintArea" localSheetId="9" hidden="1">'Datasheet (9)'!$A$1:$M$57</definedName>
    <definedName name="Z_9FF8D058_850F_4928_A8DF_23EAF83DEA90_.wvu.PrintArea" localSheetId="11" hidden="1">'Replacement Cartridge (11)'!$A$1:$N$57</definedName>
    <definedName name="Z_9FF8D058_850F_4928_A8DF_23EAF83DEA90_.wvu.PrintArea" localSheetId="12" hidden="1">'Replacement Cartridge (12)'!$A$1:$N$57</definedName>
    <definedName name="Z_9FF8D058_850F_4928_A8DF_23EAF83DEA90_.wvu.PrintArea" localSheetId="13" hidden="1">'Replacement Cartridge (13)'!$A$1:$N$57</definedName>
    <definedName name="Z_9FF8D058_850F_4928_A8DF_23EAF83DEA90_.wvu.PrintArea" localSheetId="0" hidden="1">'Worksheet Instructions'!$A$1:$M$67</definedName>
    <definedName name="zerocalc">#REF!</definedName>
  </definedNames>
  <calcPr calcId="191029"/>
  <customWorkbookViews>
    <customWorkbookView name="Tuka, Tamara - Personal View" guid="{56C9F3FB-E1BF-4A84-A9C1-883C4971E148}" mergeInterval="0" personalView="1" maximized="1" xWindow="1912" yWindow="-8" windowWidth="1936" windowHeight="1056" tabRatio="904" activeSheetId="13"/>
    <customWorkbookView name="Garay, Elenita - Personal View" guid="{9FF8D058-850F-4928-A8DF-23EAF83DEA90}" mergeInterval="0" personalView="1" maximized="1" xWindow="2869" yWindow="-536" windowWidth="2902" windowHeight="1762" tabRatio="904" activeSheetId="1"/>
    <customWorkbookView name="Bodhankar, Kshitij Kushal - Personal View" guid="{0389F900-36E4-47B4-9211-C9631990552B}" mergeInterval="0" personalView="1" maximized="1" xWindow="-1928" yWindow="-8" windowWidth="1936" windowHeight="1066" tabRatio="904" activeSheetId="14"/>
    <customWorkbookView name="Garcia, James - Personal View" guid="{93D8E372-F7EE-4EF2-BAF9-F99132763C7B}" mergeInterval="0" personalView="1" maximized="1" xWindow="3832" yWindow="-8" windowWidth="1936" windowHeight="1176" tabRatio="904" activeSheetId="1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0" i="2" l="1"/>
  <c r="D10" i="5"/>
  <c r="F10" i="5" s="1"/>
  <c r="L45" i="14" l="1"/>
  <c r="M45" i="14" s="1"/>
  <c r="K45" i="14"/>
  <c r="L43" i="14"/>
  <c r="M43" i="14" s="1"/>
  <c r="K43" i="14"/>
  <c r="L41" i="14"/>
  <c r="M41" i="14" s="1"/>
  <c r="K41" i="14"/>
  <c r="L39" i="14"/>
  <c r="M39" i="14" s="1"/>
  <c r="K39" i="14"/>
  <c r="L37" i="14"/>
  <c r="M37" i="14" s="1"/>
  <c r="K37" i="14"/>
  <c r="L35" i="14"/>
  <c r="M35" i="14" s="1"/>
  <c r="K35" i="14"/>
  <c r="L33" i="14"/>
  <c r="M33" i="14" s="1"/>
  <c r="K33" i="14"/>
  <c r="L31" i="14"/>
  <c r="M31" i="14" s="1"/>
  <c r="K31" i="14"/>
  <c r="L29" i="14"/>
  <c r="M29" i="14" s="1"/>
  <c r="K29" i="14"/>
  <c r="L27" i="14"/>
  <c r="M27" i="14" s="1"/>
  <c r="K27" i="14"/>
  <c r="L25" i="14"/>
  <c r="M25" i="14" s="1"/>
  <c r="K25" i="14"/>
  <c r="L23" i="14"/>
  <c r="M23" i="14" s="1"/>
  <c r="K23" i="14"/>
  <c r="L21" i="14"/>
  <c r="M21" i="14" s="1"/>
  <c r="K21" i="14"/>
  <c r="L19" i="14"/>
  <c r="M19" i="14" s="1"/>
  <c r="K19" i="14"/>
  <c r="L17" i="14"/>
  <c r="M17" i="14" s="1"/>
  <c r="K17" i="14"/>
  <c r="L15" i="14"/>
  <c r="M15" i="14" s="1"/>
  <c r="K15" i="14"/>
  <c r="L13" i="14"/>
  <c r="M13" i="14" s="1"/>
  <c r="K13" i="14"/>
  <c r="L11" i="14"/>
  <c r="M11" i="14" s="1"/>
  <c r="K11" i="14"/>
  <c r="D10" i="14"/>
  <c r="F10" i="14" s="1"/>
  <c r="B10" i="14"/>
  <c r="L9" i="14"/>
  <c r="M9" i="14" s="1"/>
  <c r="K9" i="14"/>
  <c r="L7" i="14"/>
  <c r="M7" i="14" s="1"/>
  <c r="K7" i="14"/>
  <c r="B6" i="14"/>
  <c r="L5" i="14"/>
  <c r="M5" i="14" s="1"/>
  <c r="K5" i="14"/>
  <c r="L3" i="14"/>
  <c r="M3" i="14" s="1"/>
  <c r="K3" i="14"/>
  <c r="F2" i="14"/>
  <c r="D2" i="14"/>
  <c r="B2" i="14"/>
  <c r="L45" i="13"/>
  <c r="M45" i="13" s="1"/>
  <c r="K45" i="13"/>
  <c r="L43" i="13"/>
  <c r="M43" i="13" s="1"/>
  <c r="K43" i="13"/>
  <c r="L41" i="13"/>
  <c r="M41" i="13" s="1"/>
  <c r="K41" i="13"/>
  <c r="L39" i="13"/>
  <c r="M39" i="13" s="1"/>
  <c r="K39" i="13"/>
  <c r="L37" i="13"/>
  <c r="M37" i="13" s="1"/>
  <c r="K37" i="13"/>
  <c r="L35" i="13"/>
  <c r="M35" i="13" s="1"/>
  <c r="K35" i="13"/>
  <c r="L33" i="13"/>
  <c r="M33" i="13" s="1"/>
  <c r="K33" i="13"/>
  <c r="L31" i="13"/>
  <c r="M31" i="13" s="1"/>
  <c r="K31" i="13"/>
  <c r="L29" i="13"/>
  <c r="M29" i="13" s="1"/>
  <c r="K29" i="13"/>
  <c r="L27" i="13"/>
  <c r="M27" i="13" s="1"/>
  <c r="K27" i="13"/>
  <c r="L25" i="13"/>
  <c r="M25" i="13" s="1"/>
  <c r="K25" i="13"/>
  <c r="L23" i="13"/>
  <c r="M23" i="13" s="1"/>
  <c r="K23" i="13"/>
  <c r="L21" i="13"/>
  <c r="M21" i="13" s="1"/>
  <c r="K21" i="13"/>
  <c r="L19" i="13"/>
  <c r="M19" i="13" s="1"/>
  <c r="K19" i="13"/>
  <c r="L17" i="13"/>
  <c r="M17" i="13" s="1"/>
  <c r="K17" i="13"/>
  <c r="L15" i="13"/>
  <c r="M15" i="13" s="1"/>
  <c r="K15" i="13"/>
  <c r="L13" i="13"/>
  <c r="M13" i="13" s="1"/>
  <c r="K13" i="13"/>
  <c r="L11" i="13"/>
  <c r="M11" i="13" s="1"/>
  <c r="K11" i="13"/>
  <c r="D10" i="13"/>
  <c r="F10" i="13" s="1"/>
  <c r="B10" i="13"/>
  <c r="L9" i="13"/>
  <c r="M9" i="13" s="1"/>
  <c r="K9" i="13"/>
  <c r="L7" i="13"/>
  <c r="M7" i="13" s="1"/>
  <c r="K7" i="13"/>
  <c r="B6" i="13"/>
  <c r="L5" i="13"/>
  <c r="M5" i="13" s="1"/>
  <c r="K5" i="13"/>
  <c r="L3" i="13"/>
  <c r="M3" i="13" s="1"/>
  <c r="K3" i="13"/>
  <c r="F2" i="13"/>
  <c r="D2" i="13"/>
  <c r="B2" i="13"/>
  <c r="L45" i="12"/>
  <c r="M45" i="12" s="1"/>
  <c r="K45" i="12"/>
  <c r="L43" i="12"/>
  <c r="M43" i="12" s="1"/>
  <c r="K43" i="12"/>
  <c r="L41" i="12"/>
  <c r="M41" i="12" s="1"/>
  <c r="K41" i="12"/>
  <c r="L39" i="12"/>
  <c r="M39" i="12" s="1"/>
  <c r="K39" i="12"/>
  <c r="L37" i="12"/>
  <c r="M37" i="12" s="1"/>
  <c r="K37" i="12"/>
  <c r="L35" i="12"/>
  <c r="M35" i="12" s="1"/>
  <c r="K35" i="12"/>
  <c r="L33" i="12"/>
  <c r="M33" i="12" s="1"/>
  <c r="K33" i="12"/>
  <c r="L31" i="12"/>
  <c r="M31" i="12" s="1"/>
  <c r="K31" i="12"/>
  <c r="L29" i="12"/>
  <c r="M29" i="12" s="1"/>
  <c r="K29" i="12"/>
  <c r="L27" i="12"/>
  <c r="M27" i="12" s="1"/>
  <c r="K27" i="12"/>
  <c r="L25" i="12"/>
  <c r="M25" i="12" s="1"/>
  <c r="K25" i="12"/>
  <c r="L23" i="12"/>
  <c r="M23" i="12" s="1"/>
  <c r="K23" i="12"/>
  <c r="L21" i="12"/>
  <c r="M21" i="12" s="1"/>
  <c r="K21" i="12"/>
  <c r="L19" i="12"/>
  <c r="M19" i="12" s="1"/>
  <c r="K19" i="12"/>
  <c r="L17" i="12"/>
  <c r="M17" i="12" s="1"/>
  <c r="K17" i="12"/>
  <c r="L15" i="12"/>
  <c r="M15" i="12" s="1"/>
  <c r="K15" i="12"/>
  <c r="L13" i="12"/>
  <c r="M13" i="12" s="1"/>
  <c r="K13" i="12"/>
  <c r="L11" i="12"/>
  <c r="M11" i="12" s="1"/>
  <c r="K11" i="12"/>
  <c r="D10" i="12"/>
  <c r="F10" i="12" s="1"/>
  <c r="B10" i="12"/>
  <c r="L9" i="12"/>
  <c r="M9" i="12" s="1"/>
  <c r="K9" i="12"/>
  <c r="L7" i="12"/>
  <c r="M7" i="12" s="1"/>
  <c r="K7" i="12"/>
  <c r="B6" i="12"/>
  <c r="L5" i="12"/>
  <c r="M5" i="12" s="1"/>
  <c r="K5" i="12"/>
  <c r="L3" i="12"/>
  <c r="M3" i="12" s="1"/>
  <c r="K3" i="12"/>
  <c r="F2" i="12"/>
  <c r="D2" i="12"/>
  <c r="B2" i="12"/>
  <c r="L45" i="11"/>
  <c r="M45" i="11" s="1"/>
  <c r="K45" i="11"/>
  <c r="L43" i="11"/>
  <c r="M43" i="11" s="1"/>
  <c r="K43" i="11"/>
  <c r="L41" i="11"/>
  <c r="M41" i="11" s="1"/>
  <c r="K41" i="11"/>
  <c r="L39" i="11"/>
  <c r="M39" i="11" s="1"/>
  <c r="K39" i="11"/>
  <c r="L37" i="11"/>
  <c r="M37" i="11" s="1"/>
  <c r="K37" i="11"/>
  <c r="L35" i="11"/>
  <c r="M35" i="11" s="1"/>
  <c r="K35" i="11"/>
  <c r="L33" i="11"/>
  <c r="M33" i="11" s="1"/>
  <c r="K33" i="11"/>
  <c r="L31" i="11"/>
  <c r="M31" i="11" s="1"/>
  <c r="K31" i="11"/>
  <c r="L29" i="11"/>
  <c r="M29" i="11" s="1"/>
  <c r="K29" i="11"/>
  <c r="L27" i="11"/>
  <c r="M27" i="11" s="1"/>
  <c r="K27" i="11"/>
  <c r="L25" i="11"/>
  <c r="M25" i="11" s="1"/>
  <c r="K25" i="11"/>
  <c r="L23" i="11"/>
  <c r="M23" i="11" s="1"/>
  <c r="K23" i="11"/>
  <c r="L21" i="11"/>
  <c r="M21" i="11" s="1"/>
  <c r="K21" i="11"/>
  <c r="L19" i="11"/>
  <c r="M19" i="11" s="1"/>
  <c r="K19" i="11"/>
  <c r="L17" i="11"/>
  <c r="M17" i="11" s="1"/>
  <c r="K17" i="11"/>
  <c r="L15" i="11"/>
  <c r="M15" i="11" s="1"/>
  <c r="K15" i="11"/>
  <c r="L13" i="11"/>
  <c r="M13" i="11" s="1"/>
  <c r="K13" i="11"/>
  <c r="L11" i="11"/>
  <c r="M11" i="11" s="1"/>
  <c r="K11" i="11"/>
  <c r="D10" i="11"/>
  <c r="F10" i="11" s="1"/>
  <c r="B10" i="11"/>
  <c r="L9" i="11"/>
  <c r="M9" i="11" s="1"/>
  <c r="K9" i="11"/>
  <c r="L7" i="11"/>
  <c r="M7" i="11" s="1"/>
  <c r="K7" i="11"/>
  <c r="B6" i="11"/>
  <c r="L5" i="11"/>
  <c r="M5" i="11" s="1"/>
  <c r="K5" i="11"/>
  <c r="L3" i="11"/>
  <c r="M3" i="11" s="1"/>
  <c r="K3" i="11"/>
  <c r="F2" i="11"/>
  <c r="D2" i="11"/>
  <c r="B2" i="11"/>
  <c r="L45" i="10"/>
  <c r="M45" i="10" s="1"/>
  <c r="K45" i="10"/>
  <c r="L43" i="10"/>
  <c r="M43" i="10" s="1"/>
  <c r="K43" i="10"/>
  <c r="L41" i="10"/>
  <c r="M41" i="10" s="1"/>
  <c r="K41" i="10"/>
  <c r="L39" i="10"/>
  <c r="M39" i="10" s="1"/>
  <c r="K39" i="10"/>
  <c r="L37" i="10"/>
  <c r="M37" i="10" s="1"/>
  <c r="K37" i="10"/>
  <c r="L35" i="10"/>
  <c r="M35" i="10" s="1"/>
  <c r="K35" i="10"/>
  <c r="L33" i="10"/>
  <c r="M33" i="10" s="1"/>
  <c r="K33" i="10"/>
  <c r="L31" i="10"/>
  <c r="M31" i="10" s="1"/>
  <c r="K31" i="10"/>
  <c r="L29" i="10"/>
  <c r="M29" i="10" s="1"/>
  <c r="K29" i="10"/>
  <c r="L27" i="10"/>
  <c r="M27" i="10" s="1"/>
  <c r="K27" i="10"/>
  <c r="L25" i="10"/>
  <c r="M25" i="10" s="1"/>
  <c r="K25" i="10"/>
  <c r="L23" i="10"/>
  <c r="M23" i="10" s="1"/>
  <c r="K23" i="10"/>
  <c r="L21" i="10"/>
  <c r="M21" i="10" s="1"/>
  <c r="K21" i="10"/>
  <c r="L19" i="10"/>
  <c r="M19" i="10" s="1"/>
  <c r="K19" i="10"/>
  <c r="L17" i="10"/>
  <c r="M17" i="10" s="1"/>
  <c r="K17" i="10"/>
  <c r="L15" i="10"/>
  <c r="M15" i="10" s="1"/>
  <c r="K15" i="10"/>
  <c r="L13" i="10"/>
  <c r="M13" i="10" s="1"/>
  <c r="K13" i="10"/>
  <c r="L11" i="10"/>
  <c r="M11" i="10" s="1"/>
  <c r="K11" i="10"/>
  <c r="D10" i="10"/>
  <c r="F10" i="10" s="1"/>
  <c r="B10" i="10"/>
  <c r="L9" i="10"/>
  <c r="M9" i="10" s="1"/>
  <c r="K9" i="10"/>
  <c r="L7" i="10"/>
  <c r="M7" i="10" s="1"/>
  <c r="K7" i="10"/>
  <c r="B6" i="10"/>
  <c r="L5" i="10"/>
  <c r="M5" i="10" s="1"/>
  <c r="K5" i="10"/>
  <c r="L3" i="10"/>
  <c r="M3" i="10" s="1"/>
  <c r="K3" i="10"/>
  <c r="F2" i="10"/>
  <c r="D2" i="10"/>
  <c r="B2" i="10"/>
  <c r="L45" i="9"/>
  <c r="M45" i="9" s="1"/>
  <c r="K45" i="9"/>
  <c r="L43" i="9"/>
  <c r="M43" i="9" s="1"/>
  <c r="K43" i="9"/>
  <c r="L41" i="9"/>
  <c r="M41" i="9" s="1"/>
  <c r="K41" i="9"/>
  <c r="L39" i="9"/>
  <c r="M39" i="9" s="1"/>
  <c r="K39" i="9"/>
  <c r="L37" i="9"/>
  <c r="M37" i="9" s="1"/>
  <c r="K37" i="9"/>
  <c r="L35" i="9"/>
  <c r="M35" i="9" s="1"/>
  <c r="K35" i="9"/>
  <c r="L33" i="9"/>
  <c r="M33" i="9" s="1"/>
  <c r="K33" i="9"/>
  <c r="L31" i="9"/>
  <c r="M31" i="9" s="1"/>
  <c r="K31" i="9"/>
  <c r="L29" i="9"/>
  <c r="M29" i="9" s="1"/>
  <c r="K29" i="9"/>
  <c r="L27" i="9"/>
  <c r="M27" i="9" s="1"/>
  <c r="K27" i="9"/>
  <c r="L25" i="9"/>
  <c r="M25" i="9" s="1"/>
  <c r="K25" i="9"/>
  <c r="L23" i="9"/>
  <c r="M23" i="9" s="1"/>
  <c r="K23" i="9"/>
  <c r="L21" i="9"/>
  <c r="M21" i="9" s="1"/>
  <c r="K21" i="9"/>
  <c r="L19" i="9"/>
  <c r="M19" i="9" s="1"/>
  <c r="K19" i="9"/>
  <c r="L17" i="9"/>
  <c r="M17" i="9" s="1"/>
  <c r="K17" i="9"/>
  <c r="L15" i="9"/>
  <c r="M15" i="9" s="1"/>
  <c r="K15" i="9"/>
  <c r="L13" i="9"/>
  <c r="M13" i="9" s="1"/>
  <c r="K13" i="9"/>
  <c r="L11" i="9"/>
  <c r="M11" i="9" s="1"/>
  <c r="K11" i="9"/>
  <c r="D10" i="9"/>
  <c r="F10" i="9" s="1"/>
  <c r="B10" i="9"/>
  <c r="L9" i="9"/>
  <c r="M9" i="9" s="1"/>
  <c r="K9" i="9"/>
  <c r="L7" i="9"/>
  <c r="M7" i="9" s="1"/>
  <c r="K7" i="9"/>
  <c r="B6" i="9"/>
  <c r="L5" i="9"/>
  <c r="M5" i="9" s="1"/>
  <c r="K5" i="9"/>
  <c r="L3" i="9"/>
  <c r="M3" i="9" s="1"/>
  <c r="K3" i="9"/>
  <c r="F2" i="9"/>
  <c r="D2" i="9"/>
  <c r="B2" i="9"/>
  <c r="L45" i="8"/>
  <c r="M45" i="8" s="1"/>
  <c r="K45" i="8"/>
  <c r="L43" i="8"/>
  <c r="M43" i="8" s="1"/>
  <c r="K43" i="8"/>
  <c r="L41" i="8"/>
  <c r="M41" i="8" s="1"/>
  <c r="K41" i="8"/>
  <c r="L39" i="8"/>
  <c r="M39" i="8" s="1"/>
  <c r="K39" i="8"/>
  <c r="L37" i="8"/>
  <c r="M37" i="8" s="1"/>
  <c r="K37" i="8"/>
  <c r="L35" i="8"/>
  <c r="M35" i="8" s="1"/>
  <c r="K35" i="8"/>
  <c r="L33" i="8"/>
  <c r="M33" i="8" s="1"/>
  <c r="K33" i="8"/>
  <c r="L31" i="8"/>
  <c r="M31" i="8" s="1"/>
  <c r="K31" i="8"/>
  <c r="L29" i="8"/>
  <c r="M29" i="8" s="1"/>
  <c r="K29" i="8"/>
  <c r="L27" i="8"/>
  <c r="M27" i="8" s="1"/>
  <c r="K27" i="8"/>
  <c r="L25" i="8"/>
  <c r="M25" i="8" s="1"/>
  <c r="K25" i="8"/>
  <c r="L23" i="8"/>
  <c r="M23" i="8" s="1"/>
  <c r="K23" i="8"/>
  <c r="L21" i="8"/>
  <c r="M21" i="8" s="1"/>
  <c r="K21" i="8"/>
  <c r="L19" i="8"/>
  <c r="M19" i="8" s="1"/>
  <c r="K19" i="8"/>
  <c r="L17" i="8"/>
  <c r="M17" i="8" s="1"/>
  <c r="K17" i="8"/>
  <c r="L15" i="8"/>
  <c r="M15" i="8" s="1"/>
  <c r="K15" i="8"/>
  <c r="L13" i="8"/>
  <c r="M13" i="8" s="1"/>
  <c r="K13" i="8"/>
  <c r="L11" i="8"/>
  <c r="M11" i="8" s="1"/>
  <c r="K11" i="8"/>
  <c r="D10" i="8"/>
  <c r="F10" i="8" s="1"/>
  <c r="B10" i="8"/>
  <c r="L9" i="8"/>
  <c r="M9" i="8" s="1"/>
  <c r="K9" i="8"/>
  <c r="L7" i="8"/>
  <c r="M7" i="8" s="1"/>
  <c r="K7" i="8"/>
  <c r="B6" i="8"/>
  <c r="L5" i="8"/>
  <c r="M5" i="8" s="1"/>
  <c r="K5" i="8"/>
  <c r="L3" i="8"/>
  <c r="M3" i="8" s="1"/>
  <c r="K3" i="8"/>
  <c r="F2" i="8"/>
  <c r="D2" i="8"/>
  <c r="B2" i="8"/>
  <c r="L45" i="7"/>
  <c r="M45" i="7" s="1"/>
  <c r="K45" i="7"/>
  <c r="L43" i="7"/>
  <c r="M43" i="7" s="1"/>
  <c r="K43" i="7"/>
  <c r="L41" i="7"/>
  <c r="M41" i="7" s="1"/>
  <c r="K41" i="7"/>
  <c r="L39" i="7"/>
  <c r="M39" i="7" s="1"/>
  <c r="K39" i="7"/>
  <c r="L37" i="7"/>
  <c r="M37" i="7" s="1"/>
  <c r="K37" i="7"/>
  <c r="L35" i="7"/>
  <c r="M35" i="7" s="1"/>
  <c r="K35" i="7"/>
  <c r="L33" i="7"/>
  <c r="M33" i="7" s="1"/>
  <c r="K33" i="7"/>
  <c r="L31" i="7"/>
  <c r="M31" i="7" s="1"/>
  <c r="K31" i="7"/>
  <c r="L29" i="7"/>
  <c r="M29" i="7" s="1"/>
  <c r="K29" i="7"/>
  <c r="L27" i="7"/>
  <c r="M27" i="7" s="1"/>
  <c r="K27" i="7"/>
  <c r="L25" i="7"/>
  <c r="M25" i="7" s="1"/>
  <c r="K25" i="7"/>
  <c r="L23" i="7"/>
  <c r="M23" i="7" s="1"/>
  <c r="K23" i="7"/>
  <c r="L21" i="7"/>
  <c r="M21" i="7" s="1"/>
  <c r="K21" i="7"/>
  <c r="L19" i="7"/>
  <c r="M19" i="7" s="1"/>
  <c r="K19" i="7"/>
  <c r="L17" i="7"/>
  <c r="M17" i="7" s="1"/>
  <c r="K17" i="7"/>
  <c r="L15" i="7"/>
  <c r="M15" i="7" s="1"/>
  <c r="K15" i="7"/>
  <c r="L13" i="7"/>
  <c r="M13" i="7" s="1"/>
  <c r="K13" i="7"/>
  <c r="L11" i="7"/>
  <c r="M11" i="7" s="1"/>
  <c r="K11" i="7"/>
  <c r="D10" i="7"/>
  <c r="F10" i="7" s="1"/>
  <c r="B10" i="7"/>
  <c r="L9" i="7"/>
  <c r="M9" i="7" s="1"/>
  <c r="K9" i="7"/>
  <c r="L7" i="7"/>
  <c r="M7" i="7" s="1"/>
  <c r="K7" i="7"/>
  <c r="B6" i="7"/>
  <c r="L5" i="7"/>
  <c r="M5" i="7" s="1"/>
  <c r="K5" i="7"/>
  <c r="L3" i="7"/>
  <c r="M3" i="7" s="1"/>
  <c r="K3" i="7"/>
  <c r="F2" i="7"/>
  <c r="D2" i="7"/>
  <c r="B2" i="7"/>
  <c r="L45" i="6"/>
  <c r="M45" i="6" s="1"/>
  <c r="K45" i="6"/>
  <c r="L43" i="6"/>
  <c r="M43" i="6" s="1"/>
  <c r="K43" i="6"/>
  <c r="L41" i="6"/>
  <c r="M41" i="6" s="1"/>
  <c r="K41" i="6"/>
  <c r="L39" i="6"/>
  <c r="M39" i="6" s="1"/>
  <c r="K39" i="6"/>
  <c r="L37" i="6"/>
  <c r="M37" i="6" s="1"/>
  <c r="K37" i="6"/>
  <c r="L35" i="6"/>
  <c r="M35" i="6" s="1"/>
  <c r="K35" i="6"/>
  <c r="L33" i="6"/>
  <c r="M33" i="6" s="1"/>
  <c r="K33" i="6"/>
  <c r="L31" i="6"/>
  <c r="M31" i="6" s="1"/>
  <c r="K31" i="6"/>
  <c r="L29" i="6"/>
  <c r="M29" i="6" s="1"/>
  <c r="K29" i="6"/>
  <c r="L27" i="6"/>
  <c r="M27" i="6" s="1"/>
  <c r="K27" i="6"/>
  <c r="L25" i="6"/>
  <c r="M25" i="6" s="1"/>
  <c r="K25" i="6"/>
  <c r="L23" i="6"/>
  <c r="M23" i="6" s="1"/>
  <c r="K23" i="6"/>
  <c r="L21" i="6"/>
  <c r="M21" i="6" s="1"/>
  <c r="K21" i="6"/>
  <c r="L19" i="6"/>
  <c r="M19" i="6" s="1"/>
  <c r="K19" i="6"/>
  <c r="L17" i="6"/>
  <c r="M17" i="6" s="1"/>
  <c r="K17" i="6"/>
  <c r="L15" i="6"/>
  <c r="M15" i="6" s="1"/>
  <c r="K15" i="6"/>
  <c r="L13" i="6"/>
  <c r="M13" i="6" s="1"/>
  <c r="K13" i="6"/>
  <c r="L11" i="6"/>
  <c r="M11" i="6" s="1"/>
  <c r="K11" i="6"/>
  <c r="D10" i="6"/>
  <c r="F10" i="6" s="1"/>
  <c r="B10" i="6"/>
  <c r="L9" i="6"/>
  <c r="M9" i="6" s="1"/>
  <c r="K9" i="6"/>
  <c r="L7" i="6"/>
  <c r="M7" i="6" s="1"/>
  <c r="K7" i="6"/>
  <c r="B6" i="6"/>
  <c r="L5" i="6"/>
  <c r="M5" i="6" s="1"/>
  <c r="K5" i="6"/>
  <c r="L3" i="6"/>
  <c r="M3" i="6" s="1"/>
  <c r="K3" i="6"/>
  <c r="F2" i="6"/>
  <c r="D2" i="6"/>
  <c r="B2" i="6"/>
  <c r="L45" i="5"/>
  <c r="M45" i="5" s="1"/>
  <c r="K45" i="5"/>
  <c r="L43" i="5"/>
  <c r="M43" i="5" s="1"/>
  <c r="K43" i="5"/>
  <c r="L41" i="5"/>
  <c r="M41" i="5" s="1"/>
  <c r="K41" i="5"/>
  <c r="L39" i="5"/>
  <c r="M39" i="5" s="1"/>
  <c r="K39" i="5"/>
  <c r="L37" i="5"/>
  <c r="M37" i="5" s="1"/>
  <c r="K37" i="5"/>
  <c r="L35" i="5"/>
  <c r="M35" i="5" s="1"/>
  <c r="K35" i="5"/>
  <c r="L33" i="5"/>
  <c r="M33" i="5" s="1"/>
  <c r="K33" i="5"/>
  <c r="L31" i="5"/>
  <c r="M31" i="5" s="1"/>
  <c r="K31" i="5"/>
  <c r="L29" i="5"/>
  <c r="M29" i="5" s="1"/>
  <c r="K29" i="5"/>
  <c r="L27" i="5"/>
  <c r="M27" i="5" s="1"/>
  <c r="K27" i="5"/>
  <c r="L25" i="5"/>
  <c r="M25" i="5" s="1"/>
  <c r="K25" i="5"/>
  <c r="L23" i="5"/>
  <c r="M23" i="5" s="1"/>
  <c r="K23" i="5"/>
  <c r="L21" i="5"/>
  <c r="M21" i="5" s="1"/>
  <c r="K21" i="5"/>
  <c r="L19" i="5"/>
  <c r="M19" i="5" s="1"/>
  <c r="K19" i="5"/>
  <c r="L17" i="5"/>
  <c r="M17" i="5" s="1"/>
  <c r="K17" i="5"/>
  <c r="L15" i="5"/>
  <c r="M15" i="5" s="1"/>
  <c r="K15" i="5"/>
  <c r="L13" i="5"/>
  <c r="M13" i="5" s="1"/>
  <c r="K13" i="5"/>
  <c r="L11" i="5"/>
  <c r="M11" i="5" s="1"/>
  <c r="K11" i="5"/>
  <c r="B10" i="5"/>
  <c r="L9" i="5"/>
  <c r="M9" i="5" s="1"/>
  <c r="K9" i="5"/>
  <c r="L7" i="5"/>
  <c r="M7" i="5" s="1"/>
  <c r="K7" i="5"/>
  <c r="B6" i="5"/>
  <c r="L5" i="5"/>
  <c r="M5" i="5" s="1"/>
  <c r="K5" i="5"/>
  <c r="L3" i="5"/>
  <c r="M3" i="5" s="1"/>
  <c r="K3" i="5"/>
  <c r="F2" i="5"/>
  <c r="D2" i="5"/>
  <c r="B2" i="5"/>
  <c r="L45" i="4"/>
  <c r="M45" i="4" s="1"/>
  <c r="K45" i="4"/>
  <c r="L43" i="4"/>
  <c r="M43" i="4" s="1"/>
  <c r="K43" i="4"/>
  <c r="L41" i="4"/>
  <c r="M41" i="4" s="1"/>
  <c r="K41" i="4"/>
  <c r="L39" i="4"/>
  <c r="M39" i="4" s="1"/>
  <c r="K39" i="4"/>
  <c r="L37" i="4"/>
  <c r="M37" i="4" s="1"/>
  <c r="K37" i="4"/>
  <c r="L35" i="4"/>
  <c r="M35" i="4" s="1"/>
  <c r="K35" i="4"/>
  <c r="L33" i="4"/>
  <c r="M33" i="4" s="1"/>
  <c r="K33" i="4"/>
  <c r="L31" i="4"/>
  <c r="M31" i="4" s="1"/>
  <c r="K31" i="4"/>
  <c r="L29" i="4"/>
  <c r="M29" i="4" s="1"/>
  <c r="K29" i="4"/>
  <c r="L27" i="4"/>
  <c r="M27" i="4" s="1"/>
  <c r="K27" i="4"/>
  <c r="L25" i="4"/>
  <c r="M25" i="4" s="1"/>
  <c r="K25" i="4"/>
  <c r="L23" i="4"/>
  <c r="M23" i="4" s="1"/>
  <c r="K23" i="4"/>
  <c r="L21" i="4"/>
  <c r="M21" i="4" s="1"/>
  <c r="K21" i="4"/>
  <c r="L19" i="4"/>
  <c r="M19" i="4" s="1"/>
  <c r="K19" i="4"/>
  <c r="L17" i="4"/>
  <c r="M17" i="4" s="1"/>
  <c r="K17" i="4"/>
  <c r="L15" i="4"/>
  <c r="M15" i="4" s="1"/>
  <c r="K15" i="4"/>
  <c r="L13" i="4"/>
  <c r="M13" i="4" s="1"/>
  <c r="K13" i="4"/>
  <c r="L11" i="4"/>
  <c r="M11" i="4" s="1"/>
  <c r="K11" i="4"/>
  <c r="D10" i="4"/>
  <c r="F10" i="4" s="1"/>
  <c r="B10" i="4"/>
  <c r="L9" i="4"/>
  <c r="M9" i="4" s="1"/>
  <c r="K9" i="4"/>
  <c r="L7" i="4"/>
  <c r="M7" i="4" s="1"/>
  <c r="K7" i="4"/>
  <c r="B6" i="4"/>
  <c r="L5" i="4"/>
  <c r="M5" i="4" s="1"/>
  <c r="K5" i="4"/>
  <c r="L3" i="4"/>
  <c r="M3" i="4" s="1"/>
  <c r="K3" i="4"/>
  <c r="F2" i="4"/>
  <c r="D2" i="4"/>
  <c r="B2" i="4"/>
  <c r="B10" i="3" l="1"/>
  <c r="B6" i="3"/>
  <c r="F2" i="3"/>
  <c r="D2" i="3"/>
  <c r="B2" i="3"/>
  <c r="D10" i="3" l="1"/>
  <c r="F10" i="3" s="1"/>
  <c r="K45" i="3" l="1"/>
  <c r="K43" i="3"/>
  <c r="K41" i="3"/>
  <c r="K39" i="3"/>
  <c r="K37" i="3"/>
  <c r="K35" i="3"/>
  <c r="K33" i="3"/>
  <c r="K31" i="3"/>
  <c r="K29" i="3"/>
  <c r="K27" i="3"/>
  <c r="K25" i="3"/>
  <c r="K23" i="3"/>
  <c r="K21" i="3"/>
  <c r="K19" i="3"/>
  <c r="K17" i="3"/>
  <c r="K15" i="3"/>
  <c r="K13" i="3"/>
  <c r="K11" i="3"/>
  <c r="K9" i="3"/>
  <c r="K7" i="3"/>
  <c r="K5" i="3"/>
  <c r="K3" i="3"/>
  <c r="L25" i="3" l="1"/>
  <c r="L9" i="3"/>
  <c r="L31" i="3"/>
  <c r="L43" i="3"/>
  <c r="L19" i="3"/>
  <c r="L7" i="3"/>
  <c r="L27" i="3"/>
  <c r="L5" i="3"/>
  <c r="L23" i="3"/>
  <c r="L17" i="3"/>
  <c r="L33" i="3"/>
  <c r="L41" i="3"/>
  <c r="L11" i="3"/>
  <c r="L15" i="3"/>
  <c r="L35" i="3"/>
  <c r="L13" i="3"/>
  <c r="L29" i="3"/>
  <c r="L3" i="3"/>
  <c r="M3" i="3" s="1"/>
  <c r="L21" i="3"/>
  <c r="L45" i="3"/>
  <c r="L37" i="3"/>
  <c r="L39" i="3"/>
  <c r="K3" i="2"/>
  <c r="K5" i="2"/>
  <c r="K7" i="2"/>
  <c r="K9" i="2"/>
  <c r="K11" i="2"/>
  <c r="K13" i="2"/>
  <c r="K15" i="2"/>
  <c r="K17" i="2"/>
  <c r="K19" i="2"/>
  <c r="K21" i="2"/>
  <c r="K23" i="2"/>
  <c r="K25" i="2"/>
  <c r="K27" i="2"/>
  <c r="K29" i="2"/>
  <c r="K31" i="2"/>
  <c r="K33" i="2"/>
  <c r="K35" i="2"/>
  <c r="K37" i="2"/>
  <c r="K39" i="2"/>
  <c r="K41" i="2"/>
  <c r="L11" i="2"/>
  <c r="L41" i="2" l="1"/>
  <c r="L19" i="2"/>
  <c r="L9" i="2"/>
  <c r="L17" i="2"/>
  <c r="L37" i="2"/>
  <c r="L27" i="2"/>
  <c r="L7" i="2"/>
  <c r="L5" i="2"/>
  <c r="M5" i="2" s="1"/>
  <c r="L33" i="2"/>
  <c r="L23" i="2"/>
  <c r="L21" i="2"/>
  <c r="L29" i="2"/>
  <c r="L39" i="2"/>
  <c r="L35" i="2"/>
  <c r="L15" i="2"/>
  <c r="L25" i="2"/>
  <c r="L13" i="2"/>
  <c r="L3" i="2"/>
  <c r="M3" i="2" s="1"/>
  <c r="L31" i="2"/>
  <c r="M45" i="3" l="1"/>
  <c r="M43" i="3"/>
  <c r="M41" i="3"/>
  <c r="M39" i="3"/>
  <c r="M37" i="3"/>
  <c r="M35" i="3"/>
  <c r="M33" i="3"/>
  <c r="M31" i="3"/>
  <c r="M29" i="3"/>
  <c r="M27" i="3"/>
  <c r="M25" i="3"/>
  <c r="M23" i="3"/>
  <c r="M21" i="3"/>
  <c r="M19" i="3"/>
  <c r="M17" i="3"/>
  <c r="M15" i="3"/>
  <c r="M13" i="3"/>
  <c r="M11" i="3"/>
  <c r="M9" i="3"/>
  <c r="M7" i="3"/>
  <c r="M5" i="3"/>
  <c r="M7" i="2" l="1"/>
  <c r="K45" i="2"/>
  <c r="L45" i="2" s="1"/>
  <c r="M45" i="2" s="1"/>
  <c r="K43" i="2"/>
  <c r="L43" i="2" s="1"/>
  <c r="M43" i="2" s="1"/>
  <c r="M41" i="2"/>
  <c r="M39" i="2"/>
  <c r="M37" i="2"/>
  <c r="M35" i="2"/>
  <c r="M33" i="2"/>
  <c r="M31" i="2"/>
  <c r="M29" i="2"/>
  <c r="M27" i="2"/>
  <c r="M25" i="2"/>
  <c r="M23" i="2"/>
  <c r="M21" i="2"/>
  <c r="M19" i="2"/>
  <c r="M17" i="2"/>
  <c r="M15" i="2"/>
  <c r="M13" i="2"/>
  <c r="M11" i="2"/>
  <c r="M9" i="2"/>
  <c r="K49" i="2" l="1"/>
  <c r="L49" i="2"/>
</calcChain>
</file>

<file path=xl/sharedStrings.xml><?xml version="1.0" encoding="utf-8"?>
<sst xmlns="http://schemas.openxmlformats.org/spreadsheetml/2006/main" count="484" uniqueCount="147">
  <si>
    <t>Date</t>
  </si>
  <si>
    <t>Weight Loss (mg)</t>
  </si>
  <si>
    <t>Signature</t>
  </si>
  <si>
    <t>Worksheet Instruction</t>
  </si>
  <si>
    <t>Initial Weight (mg)</t>
  </si>
  <si>
    <t>Final Weight (mg)</t>
  </si>
  <si>
    <t>Intended Use</t>
  </si>
  <si>
    <t>Description</t>
  </si>
  <si>
    <t>Part Number</t>
  </si>
  <si>
    <t>Configuration of Cartridge Lid with Chamber Identification</t>
  </si>
  <si>
    <t>Name of Tester</t>
  </si>
  <si>
    <t>NOTE - All weight measurements should be done in "mg" and recorded in "mg".</t>
  </si>
  <si>
    <t>Vacuum Oven ID Number</t>
  </si>
  <si>
    <t>Vacuum Oven Cal Due Date</t>
  </si>
  <si>
    <t>Balance ID Number</t>
  </si>
  <si>
    <t>Balance Cal Due Date</t>
  </si>
  <si>
    <t>Cartridge ID</t>
  </si>
  <si>
    <t>Cartridge Number (LSP)</t>
  </si>
  <si>
    <t>For Production Order (PO) with multiple batches, enter all batch numbers on the worksheet.</t>
  </si>
  <si>
    <t>Batch Number(s)</t>
  </si>
  <si>
    <t>Assay Family</t>
  </si>
  <si>
    <t>Weight Loss Spec</t>
  </si>
  <si>
    <t>Bladder Cancer</t>
  </si>
  <si>
    <t>Flu</t>
  </si>
  <si>
    <t>MRSA</t>
  </si>
  <si>
    <t>PA</t>
  </si>
  <si>
    <t>Strep A</t>
  </si>
  <si>
    <t>Assay List</t>
  </si>
  <si>
    <t>BCR-ABL</t>
  </si>
  <si>
    <t>Carba-R</t>
  </si>
  <si>
    <t>C. Diff</t>
  </si>
  <si>
    <t>Ebola</t>
  </si>
  <si>
    <t>FIIFV/Hemosil</t>
  </si>
  <si>
    <t>GBS</t>
  </si>
  <si>
    <t>HBV</t>
  </si>
  <si>
    <t>HCV</t>
  </si>
  <si>
    <t>HIV</t>
  </si>
  <si>
    <t>HPV</t>
  </si>
  <si>
    <t>MTB</t>
  </si>
  <si>
    <t>Norovirus</t>
  </si>
  <si>
    <t>SA Comp</t>
  </si>
  <si>
    <t>TV</t>
  </si>
  <si>
    <t>Van A</t>
  </si>
  <si>
    <t>PO Number</t>
  </si>
  <si>
    <t>Breast Cancer</t>
  </si>
  <si>
    <t>Xpert Check</t>
  </si>
  <si>
    <t>SARS CoV2</t>
  </si>
  <si>
    <t>ROBAL</t>
  </si>
  <si>
    <t>ROBAL-001</t>
  </si>
  <si>
    <t>ROBAL-002</t>
  </si>
  <si>
    <t>ROBAL-003</t>
  </si>
  <si>
    <t>ROBAL-004</t>
  </si>
  <si>
    <t>ROBAL-005</t>
  </si>
  <si>
    <t>ROBAL-006</t>
  </si>
  <si>
    <t>ROBAL-007</t>
  </si>
  <si>
    <t>ROBAL-008</t>
  </si>
  <si>
    <t>ROBAL-009</t>
  </si>
  <si>
    <t>Naming Instructions</t>
  </si>
  <si>
    <t>For Information Only</t>
  </si>
  <si>
    <t>Lid Mold(s)</t>
  </si>
  <si>
    <t>OC Mold(s)</t>
  </si>
  <si>
    <t>Weight Loss
Pass/Fail</t>
  </si>
  <si>
    <t>Observation</t>
  </si>
  <si>
    <t xml:space="preserve">Comments                                                                  </t>
  </si>
  <si>
    <t>ROBAL-010</t>
  </si>
  <si>
    <t>SARS CoV2 Flu/RSV</t>
  </si>
  <si>
    <t>(Characterization) Observation</t>
  </si>
  <si>
    <t>Operator fills in cartridge ID, initial and final weight values in cells H3:J44.</t>
  </si>
  <si>
    <t>Formula in cells K3:K44 calculate the weight difference if there is a final weight.  There is conditional formatting in these cells to turn the text body red if the weight loss exceeds the limit of 15 mg.</t>
  </si>
  <si>
    <t>Formula in cells L3:L44 indicate PASS/FAIL for appropriate conditions.  Lack of data causes this cell to be blank.  Conditional formatting is used to turn this text bold green or red for PASS and FAIL respectively.</t>
  </si>
  <si>
    <t>Operator selects Observation for STF characterization from the drop-down list if a sample fails for weight loss.</t>
  </si>
  <si>
    <t>ROBAL-011</t>
  </si>
  <si>
    <t>SARS CoV2 Flu/RSV XC</t>
  </si>
  <si>
    <t>Sample Naming as follows: Bag#_Sample/Replacement_Sample#Lid Laser Cut Pattern (for example 1_S_01+ OR 2_R_05X) unless otherwise specified per D12547 BOM.</t>
  </si>
  <si>
    <t>CTNG and Xpress CT/NG</t>
  </si>
  <si>
    <t>Solna:</t>
  </si>
  <si>
    <t>Jidoka-001</t>
  </si>
  <si>
    <t>Jidoka-002</t>
  </si>
  <si>
    <t>ROBAL-012</t>
  </si>
  <si>
    <t>Document Revision History</t>
  </si>
  <si>
    <t>Rev.</t>
  </si>
  <si>
    <t>Effective:</t>
  </si>
  <si>
    <t>Description of changes</t>
  </si>
  <si>
    <t>NJ-PL01</t>
  </si>
  <si>
    <t>NJ-PL02</t>
  </si>
  <si>
    <t>NJ-PL03</t>
  </si>
  <si>
    <t>NJ-PL04</t>
  </si>
  <si>
    <t>NJ-PL05</t>
  </si>
  <si>
    <t>NJ-PL06</t>
  </si>
  <si>
    <t>NJ-PL07</t>
  </si>
  <si>
    <t>NJ-PL08</t>
  </si>
  <si>
    <t>NJ-PL09</t>
  </si>
  <si>
    <t>NJ-PL10</t>
  </si>
  <si>
    <t>NJ-PL11</t>
  </si>
  <si>
    <t>NJ-PL12</t>
  </si>
  <si>
    <t>Timer ID Number</t>
  </si>
  <si>
    <t>Timer Cal Due Date</t>
  </si>
  <si>
    <t>FlexCart-01</t>
  </si>
  <si>
    <t>FlexCart-02</t>
  </si>
  <si>
    <t>FlexCart-05</t>
  </si>
  <si>
    <t>Cepheid US Sites:</t>
  </si>
  <si>
    <t>Xpress CoV-2 plus</t>
  </si>
  <si>
    <t>Xpress CoV-2/Flu/RSV plus</t>
  </si>
  <si>
    <t>ROBAL-013</t>
  </si>
  <si>
    <t>Sample Type for XpertCheck should be entered as Zero (for example 1_0_01 or 2_0_05)</t>
  </si>
  <si>
    <t>Sample Naming as follows: Bag#_Sample Type_Sample# (for example 1_1_01 OR 2_0_05) unless otherwise specified per D12547 BOM.</t>
  </si>
  <si>
    <t>ROBAL-014</t>
  </si>
  <si>
    <t>ROBAL-015</t>
  </si>
  <si>
    <t>AH.1</t>
  </si>
  <si>
    <t>completed Macro Verification from the previous AWF-09027 changes</t>
  </si>
  <si>
    <t>AH.2</t>
  </si>
  <si>
    <t>Reformatted Datasheet (1) tab so it only prints one page</t>
  </si>
  <si>
    <t>AJ</t>
  </si>
  <si>
    <t>LCE009 Xpress SARS-CoV-2 plus</t>
  </si>
  <si>
    <t>Added Xpert Xpress MVP &amp; LCE009 Xpress SARS-C0V-2 to Assay list.  Updated formula on each tab to indicate correct weight lost spec.</t>
  </si>
  <si>
    <t>Broken Chimney</t>
  </si>
  <si>
    <t>Film Seal (Leak)</t>
  </si>
  <si>
    <t>Lid Weld (Leak)</t>
  </si>
  <si>
    <t>Unknown Leakage</t>
  </si>
  <si>
    <t>Lid Outer Wall Blowout</t>
  </si>
  <si>
    <t>Other Damage</t>
  </si>
  <si>
    <t>AK</t>
  </si>
  <si>
    <t>Xpert NPM1 Mutation</t>
  </si>
  <si>
    <t>Xpert Respiratory Panel</t>
  </si>
  <si>
    <t>Xpert GI Panel</t>
  </si>
  <si>
    <t>Monkeypox</t>
  </si>
  <si>
    <t>Updated Characterization Observation categories for ROBAL STFs. Added NPM1 Mutation, Xpert Respiratory Panel, Xpert GI Panel, and Monkeypox to assay list. Updated formula on each tab to indicate correct weight lost spec.</t>
  </si>
  <si>
    <t>Xpert E-RP</t>
  </si>
  <si>
    <t>AL</t>
  </si>
  <si>
    <t>NJB ROBAL 001</t>
  </si>
  <si>
    <t>This document is used as a worksheet for D9050 Cartridge Seal Integrity Vacuum Test Procedure to record the seal integrity data for reagent-on-board cartridges.</t>
  </si>
  <si>
    <t>Current</t>
  </si>
  <si>
    <t xml:space="preserve">Added Xpert E-RP to the assay list and its corresponding Weight Loss Spec. Added NJB ROBAL 001 to ROBAL list. </t>
  </si>
  <si>
    <t xml:space="preserve">Updating Document Number error. </t>
  </si>
  <si>
    <t>AL.1</t>
  </si>
  <si>
    <t>AL.2</t>
  </si>
  <si>
    <t xml:space="preserve">Updating to "Unshared Workbook" under Review tab in Excel ribbon. </t>
  </si>
  <si>
    <t>AM</t>
  </si>
  <si>
    <t>Xpert PML-RARA RUO</t>
  </si>
  <si>
    <t>LCE010 Xpress CoV-2/Flu/RSV plus</t>
  </si>
  <si>
    <t>Adding PML-RARA and LCE010 Xpress CoV-2/Flu/RSV plus</t>
  </si>
  <si>
    <t>Sample Type for Xpert® Check should be entered as Sample/Replacement (for example 1_S_01+ or 2_R_05X)</t>
  </si>
  <si>
    <t>Xpert Xpress MVP</t>
  </si>
  <si>
    <t>AM.1</t>
  </si>
  <si>
    <t>Remove ® symbol from Xpert Xpress MVP, cell B46 on Worksheet instructions tab</t>
  </si>
  <si>
    <t>AN</t>
  </si>
  <si>
    <t>Corrected Datasheet (1) tab cells E10, E11, F10 &amp; F11 references to include Xpert PML-RARA RUO and LCE010 Xpress CoV-2/Flu/RSV plus, Update Weight Loss Spec cells on every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</si>
</sst>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name val="Arial"/>
    </font>
    <font>
      <b/>
      <sz val="10"/>
      <name val="Arial"/>
      <family val="2"/>
    </font>
    <font>
      <sz val="10"/>
      <name val="Arial"/>
      <family val="2"/>
    </font>
    <font>
      <b/>
      <sz val="10"/>
      <color indexed="10"/>
      <name val="Arial"/>
      <family val="2"/>
    </font>
    <font>
      <b/>
      <sz val="12"/>
      <name val="Arial"/>
      <family val="2"/>
    </font>
    <font>
      <b/>
      <sz val="16"/>
      <name val="Arial"/>
      <family val="2"/>
    </font>
    <font>
      <sz val="10"/>
      <color theme="1"/>
      <name val="Arial"/>
      <family val="2"/>
    </font>
    <font>
      <sz val="10"/>
      <color rgb="FFFF0000"/>
      <name val="Arial"/>
      <family val="2"/>
    </font>
    <font>
      <sz val="8"/>
      <name val="Arial"/>
      <family val="2"/>
    </font>
    <font>
      <sz val="8"/>
      <color rgb="FF000000"/>
      <name val="Segoe UI"/>
      <charset val="1"/>
    </font>
  </fonts>
  <fills count="9">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rgb="FFCCFFFF"/>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99"/>
        <bgColor indexed="64"/>
      </patternFill>
    </fill>
    <fill>
      <patternFill patternType="solid">
        <fgColor rgb="FFCCFFFF"/>
        <bgColor rgb="FF000000"/>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right style="medium">
        <color theme="1"/>
      </right>
      <top style="medium">
        <color theme="1"/>
      </top>
      <bottom style="thin">
        <color indexed="64"/>
      </bottom>
      <diagonal/>
    </border>
    <border>
      <left/>
      <right style="medium">
        <color theme="1"/>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theme="1"/>
      </right>
      <top style="medium">
        <color indexed="64"/>
      </top>
      <bottom style="thin">
        <color indexed="64"/>
      </bottom>
      <diagonal/>
    </border>
    <border>
      <left style="thin">
        <color indexed="64"/>
      </left>
      <right style="medium">
        <color theme="1"/>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s>
  <cellStyleXfs count="2">
    <xf numFmtId="0" fontId="0" fillId="0" borderId="0"/>
    <xf numFmtId="0" fontId="2" fillId="0" borderId="0"/>
  </cellStyleXfs>
  <cellXfs count="165">
    <xf numFmtId="0" fontId="0" fillId="0" borderId="0" xfId="0"/>
    <xf numFmtId="0" fontId="2" fillId="0" borderId="0" xfId="0" applyFont="1"/>
    <xf numFmtId="0" fontId="4" fillId="0" borderId="0" xfId="0" applyFont="1"/>
    <xf numFmtId="0" fontId="2" fillId="0" borderId="0" xfId="0" applyFont="1" applyAlignment="1">
      <alignment horizontal="center"/>
    </xf>
    <xf numFmtId="0" fontId="2" fillId="0" borderId="0" xfId="0" applyFont="1" applyAlignment="1">
      <alignment horizontal="right" vertical="center"/>
    </xf>
    <xf numFmtId="0" fontId="2" fillId="0" borderId="0" xfId="0" applyFont="1" applyAlignment="1">
      <alignment vertical="center"/>
    </xf>
    <xf numFmtId="0" fontId="2" fillId="0" borderId="1" xfId="0" applyFont="1" applyBorder="1" applyAlignment="1">
      <alignment horizontal="left"/>
    </xf>
    <xf numFmtId="0" fontId="2" fillId="0" borderId="1" xfId="0" applyFont="1" applyBorder="1"/>
    <xf numFmtId="0" fontId="2" fillId="0" borderId="0" xfId="0" applyFont="1" applyAlignment="1" applyProtection="1">
      <alignment horizontal="center" vertical="center" wrapText="1"/>
      <protection locked="0"/>
    </xf>
    <xf numFmtId="0" fontId="2" fillId="0" borderId="0" xfId="0" applyFont="1" applyProtection="1">
      <protection locked="0"/>
    </xf>
    <xf numFmtId="0" fontId="1" fillId="0" borderId="0" xfId="0" applyFont="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0" borderId="0" xfId="0" applyProtection="1">
      <protection locked="0"/>
    </xf>
    <xf numFmtId="0" fontId="1" fillId="0" borderId="0" xfId="0" applyFont="1" applyProtection="1">
      <protection locked="0"/>
    </xf>
    <xf numFmtId="0" fontId="0" fillId="0" borderId="0" xfId="0"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wrapText="1"/>
      <protection locked="0"/>
    </xf>
    <xf numFmtId="0" fontId="1" fillId="0" borderId="23" xfId="0" applyFont="1" applyBorder="1" applyAlignment="1" applyProtection="1">
      <alignment horizontal="center" vertical="center" wrapText="1"/>
      <protection locked="0"/>
    </xf>
    <xf numFmtId="0" fontId="2" fillId="0" borderId="0" xfId="0" applyFont="1" applyAlignment="1">
      <alignment horizontal="left" vertical="center" wrapText="1"/>
    </xf>
    <xf numFmtId="0" fontId="0" fillId="0" borderId="0" xfId="0" applyAlignment="1">
      <alignment vertical="center" wrapText="1"/>
    </xf>
    <xf numFmtId="0" fontId="2" fillId="0" borderId="0" xfId="0" applyFont="1" applyAlignment="1">
      <alignment vertical="center" wrapText="1"/>
    </xf>
    <xf numFmtId="0" fontId="6" fillId="0" borderId="0" xfId="0" applyFont="1" applyAlignment="1">
      <alignment horizontal="left" vertical="center"/>
    </xf>
    <xf numFmtId="0" fontId="1" fillId="0" borderId="0" xfId="0" applyFont="1" applyAlignment="1">
      <alignment vertical="center" wrapText="1"/>
    </xf>
    <xf numFmtId="0" fontId="1" fillId="0" borderId="0" xfId="0" applyFont="1"/>
    <xf numFmtId="0" fontId="6" fillId="0" borderId="1" xfId="0" applyFont="1" applyBorder="1" applyAlignment="1">
      <alignment horizontal="left"/>
    </xf>
    <xf numFmtId="0" fontId="6" fillId="0" borderId="0" xfId="0" applyFont="1" applyAlignment="1">
      <alignment horizontal="left"/>
    </xf>
    <xf numFmtId="0" fontId="2" fillId="0" borderId="0" xfId="0" applyFont="1" applyAlignment="1">
      <alignment horizontal="left" vertical="center"/>
    </xf>
    <xf numFmtId="164" fontId="1" fillId="0" borderId="0" xfId="0" applyNumberFormat="1" applyFont="1" applyAlignment="1" applyProtection="1">
      <alignment horizontal="center" vertical="center" wrapText="1"/>
      <protection locked="0"/>
    </xf>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5" borderId="22" xfId="0" applyFill="1" applyBorder="1" applyAlignment="1" applyProtection="1">
      <alignment horizontal="center" vertical="top"/>
      <protection locked="0"/>
    </xf>
    <xf numFmtId="164" fontId="0" fillId="0" borderId="0" xfId="0" applyNumberFormat="1" applyAlignment="1" applyProtection="1">
      <alignment horizontal="center" vertical="center" wrapText="1"/>
      <protection locked="0"/>
    </xf>
    <xf numFmtId="0" fontId="2" fillId="6" borderId="1" xfId="0" applyFont="1" applyFill="1" applyBorder="1" applyAlignment="1">
      <alignment horizontal="center" vertical="center"/>
    </xf>
    <xf numFmtId="0" fontId="2" fillId="6" borderId="26" xfId="0" applyFont="1" applyFill="1" applyBorder="1" applyAlignment="1">
      <alignment horizontal="center" vertical="center"/>
    </xf>
    <xf numFmtId="0" fontId="0" fillId="5" borderId="2" xfId="0" applyFill="1" applyBorder="1" applyAlignment="1" applyProtection="1">
      <alignment horizontal="center" vertical="top"/>
      <protection locked="0"/>
    </xf>
    <xf numFmtId="0" fontId="1" fillId="0" borderId="19" xfId="0" applyFont="1" applyBorder="1" applyAlignment="1">
      <alignment horizontal="center" vertical="center" wrapText="1"/>
    </xf>
    <xf numFmtId="0" fontId="2" fillId="0" borderId="3" xfId="0" applyFont="1" applyBorder="1" applyAlignment="1">
      <alignment horizontal="center" vertical="center" wrapText="1"/>
    </xf>
    <xf numFmtId="0" fontId="0" fillId="0" borderId="3" xfId="0" applyBorder="1" applyAlignment="1">
      <alignment horizontal="center" vertical="center" wrapText="1"/>
    </xf>
    <xf numFmtId="0" fontId="1" fillId="0" borderId="0" xfId="0" applyFont="1" applyAlignment="1">
      <alignment horizontal="center" vertical="center" wrapText="1"/>
    </xf>
    <xf numFmtId="0" fontId="1" fillId="0" borderId="19" xfId="0" applyFont="1" applyBorder="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left" vertical="center"/>
    </xf>
    <xf numFmtId="0" fontId="3" fillId="0" borderId="0" xfId="0" applyFont="1" applyAlignment="1">
      <alignment vertical="center" wrapText="1"/>
    </xf>
    <xf numFmtId="0" fontId="3" fillId="0" borderId="0" xfId="0" applyFont="1" applyAlignment="1">
      <alignment horizontal="center" vertical="center" wrapText="1"/>
    </xf>
    <xf numFmtId="0" fontId="2" fillId="0" borderId="1" xfId="0" applyFont="1" applyBorder="1" applyAlignment="1">
      <alignment horizontal="center" vertical="center"/>
    </xf>
    <xf numFmtId="0" fontId="7" fillId="0" borderId="44" xfId="0" applyFont="1" applyBorder="1" applyAlignment="1">
      <alignment wrapText="1"/>
    </xf>
    <xf numFmtId="14" fontId="2" fillId="0" borderId="1" xfId="0" applyNumberFormat="1" applyFont="1" applyBorder="1" applyAlignment="1">
      <alignment horizontal="center"/>
    </xf>
    <xf numFmtId="14" fontId="2" fillId="0" borderId="1" xfId="0" applyNumberFormat="1"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1" xfId="0" applyFont="1" applyBorder="1" applyAlignment="1">
      <alignment horizontal="center"/>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2" fillId="0" borderId="26" xfId="0" applyFont="1" applyBorder="1" applyAlignment="1">
      <alignment horizontal="left" vertical="center"/>
    </xf>
    <xf numFmtId="0" fontId="2" fillId="0" borderId="27" xfId="0" applyFont="1" applyBorder="1" applyAlignment="1">
      <alignment horizontal="left" vertical="center"/>
    </xf>
    <xf numFmtId="0" fontId="2" fillId="0" borderId="28" xfId="0" applyFont="1" applyBorder="1" applyAlignment="1">
      <alignment horizontal="left" vertical="center"/>
    </xf>
    <xf numFmtId="14" fontId="2" fillId="0" borderId="0" xfId="0" applyNumberFormat="1" applyFont="1" applyAlignment="1">
      <alignment horizontal="center"/>
    </xf>
    <xf numFmtId="0" fontId="2" fillId="0" borderId="26" xfId="0" applyFont="1" applyBorder="1" applyAlignment="1">
      <alignment horizontal="left" vertical="center" wrapText="1"/>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5" fillId="0" borderId="0" xfId="0" applyFont="1" applyAlignment="1">
      <alignment horizontal="center" vertical="center" wrapText="1"/>
    </xf>
    <xf numFmtId="0" fontId="2" fillId="0" borderId="0" xfId="0" applyFont="1" applyAlignment="1">
      <alignment horizontal="left" vertical="center" wrapText="1"/>
    </xf>
    <xf numFmtId="0" fontId="0" fillId="0" borderId="0" xfId="0" applyAlignment="1">
      <alignment vertical="center" wrapText="1"/>
    </xf>
    <xf numFmtId="0" fontId="2" fillId="0" borderId="0" xfId="0" applyFont="1" applyAlignment="1">
      <alignment horizontal="left" vertical="center"/>
    </xf>
    <xf numFmtId="0" fontId="2" fillId="6" borderId="26" xfId="0" applyFont="1" applyFill="1" applyBorder="1" applyAlignment="1">
      <alignment horizontal="center" vertical="center"/>
    </xf>
    <xf numFmtId="0" fontId="2" fillId="6" borderId="27" xfId="0" applyFont="1" applyFill="1" applyBorder="1" applyAlignment="1">
      <alignment horizontal="center" vertical="center"/>
    </xf>
    <xf numFmtId="0" fontId="2" fillId="6" borderId="28" xfId="0" applyFont="1" applyFill="1" applyBorder="1" applyAlignment="1">
      <alignment horizontal="center" vertical="center"/>
    </xf>
    <xf numFmtId="0" fontId="2" fillId="0" borderId="0" xfId="0" applyFont="1" applyAlignment="1">
      <alignment vertical="center"/>
    </xf>
    <xf numFmtId="0" fontId="2" fillId="0" borderId="26" xfId="0" applyFont="1" applyBorder="1" applyAlignment="1">
      <alignment horizontal="left" vertical="center"/>
    </xf>
    <xf numFmtId="0" fontId="2" fillId="0" borderId="27" xfId="0" applyFont="1" applyBorder="1" applyAlignment="1">
      <alignment horizontal="left" vertical="center"/>
    </xf>
    <xf numFmtId="0" fontId="2" fillId="0" borderId="28" xfId="0" applyFont="1" applyBorder="1" applyAlignment="1">
      <alignment horizontal="left" vertical="center"/>
    </xf>
    <xf numFmtId="0" fontId="1" fillId="5" borderId="31" xfId="0" applyFont="1" applyFill="1" applyBorder="1" applyAlignment="1" applyProtection="1">
      <alignment horizontal="center" vertical="center" wrapText="1"/>
      <protection locked="0"/>
    </xf>
    <xf numFmtId="0" fontId="1" fillId="5" borderId="32" xfId="0" applyFont="1" applyFill="1" applyBorder="1" applyAlignment="1" applyProtection="1">
      <alignment horizontal="center" vertical="center" wrapText="1"/>
      <protection locked="0"/>
    </xf>
    <xf numFmtId="0" fontId="1" fillId="8" borderId="35" xfId="0" applyFont="1" applyFill="1" applyBorder="1" applyAlignment="1" applyProtection="1">
      <alignment horizontal="center" vertical="center" wrapText="1"/>
      <protection locked="0"/>
    </xf>
    <xf numFmtId="0" fontId="1" fillId="8" borderId="39" xfId="0" applyFont="1" applyFill="1" applyBorder="1" applyAlignment="1" applyProtection="1">
      <alignment horizontal="center" vertical="center" wrapText="1"/>
      <protection locked="0"/>
    </xf>
    <xf numFmtId="164" fontId="1" fillId="2" borderId="36" xfId="0" applyNumberFormat="1" applyFont="1" applyFill="1" applyBorder="1" applyAlignment="1" applyProtection="1">
      <alignment horizontal="center" vertical="center" wrapText="1"/>
      <protection locked="0"/>
    </xf>
    <xf numFmtId="164" fontId="1" fillId="2" borderId="40" xfId="0" applyNumberFormat="1" applyFont="1" applyFill="1" applyBorder="1" applyAlignment="1" applyProtection="1">
      <alignment horizontal="center" vertical="center" wrapText="1"/>
      <protection locked="0"/>
    </xf>
    <xf numFmtId="164" fontId="0" fillId="3" borderId="17" xfId="0" applyNumberFormat="1" applyFill="1" applyBorder="1" applyAlignment="1">
      <alignment horizontal="center" vertical="center" wrapText="1"/>
    </xf>
    <xf numFmtId="164" fontId="0" fillId="3" borderId="15" xfId="0" applyNumberFormat="1" applyFill="1" applyBorder="1" applyAlignment="1">
      <alignment horizontal="center" vertical="center" wrapText="1"/>
    </xf>
    <xf numFmtId="0" fontId="0" fillId="3" borderId="17" xfId="0" applyFill="1" applyBorder="1" applyAlignment="1">
      <alignment horizontal="center" vertical="center" wrapText="1"/>
    </xf>
    <xf numFmtId="0" fontId="0" fillId="3" borderId="15" xfId="0" applyFill="1" applyBorder="1" applyAlignment="1">
      <alignment horizontal="center" vertical="center" wrapText="1"/>
    </xf>
    <xf numFmtId="0" fontId="1" fillId="2" borderId="35" xfId="0" applyFont="1" applyFill="1" applyBorder="1" applyAlignment="1" applyProtection="1">
      <alignment horizontal="center" vertical="center" wrapText="1"/>
      <protection locked="0"/>
    </xf>
    <xf numFmtId="0" fontId="1" fillId="2" borderId="39" xfId="0" applyFont="1" applyFill="1" applyBorder="1" applyAlignment="1" applyProtection="1">
      <alignment horizontal="center" vertical="center" wrapText="1"/>
      <protection locked="0"/>
    </xf>
    <xf numFmtId="0" fontId="1" fillId="2" borderId="41" xfId="0" applyFont="1" applyFill="1" applyBorder="1" applyAlignment="1" applyProtection="1">
      <alignment horizontal="center" vertical="center" wrapText="1"/>
      <protection locked="0"/>
    </xf>
    <xf numFmtId="164" fontId="1" fillId="2" borderId="42" xfId="0" applyNumberFormat="1" applyFont="1" applyFill="1" applyBorder="1" applyAlignment="1" applyProtection="1">
      <alignment horizontal="center" vertical="center" wrapText="1"/>
      <protection locked="0"/>
    </xf>
    <xf numFmtId="0" fontId="0" fillId="3" borderId="29" xfId="0" applyFill="1" applyBorder="1" applyAlignment="1">
      <alignment horizontal="center" vertical="center" wrapText="1"/>
    </xf>
    <xf numFmtId="0" fontId="0" fillId="3" borderId="33" xfId="0" applyFill="1" applyBorder="1" applyAlignment="1">
      <alignment horizontal="center" vertical="center" wrapText="1"/>
    </xf>
    <xf numFmtId="164" fontId="0" fillId="3" borderId="29" xfId="0" applyNumberFormat="1" applyFill="1" applyBorder="1" applyAlignment="1">
      <alignment horizontal="center" vertical="center" wrapText="1"/>
    </xf>
    <xf numFmtId="164" fontId="0" fillId="3" borderId="33" xfId="0" applyNumberFormat="1" applyFill="1" applyBorder="1" applyAlignment="1">
      <alignment horizontal="center" vertical="center" wrapText="1"/>
    </xf>
    <xf numFmtId="0" fontId="2" fillId="5" borderId="14" xfId="0" applyFont="1" applyFill="1" applyBorder="1" applyAlignment="1" applyProtection="1">
      <alignment horizontal="center" vertical="top"/>
      <protection locked="0"/>
    </xf>
    <xf numFmtId="0" fontId="2" fillId="5" borderId="15" xfId="0" applyFont="1" applyFill="1" applyBorder="1" applyAlignment="1" applyProtection="1">
      <alignment horizontal="center" vertical="top"/>
      <protection locked="0"/>
    </xf>
    <xf numFmtId="0" fontId="1" fillId="2" borderId="5" xfId="0" applyFont="1" applyFill="1" applyBorder="1" applyAlignment="1" applyProtection="1">
      <alignment horizontal="center" vertical="center" wrapText="1"/>
      <protection locked="0"/>
    </xf>
    <xf numFmtId="0" fontId="1" fillId="2" borderId="6" xfId="0" applyFont="1" applyFill="1" applyBorder="1" applyAlignment="1" applyProtection="1">
      <alignment horizontal="center" vertical="center" wrapText="1"/>
      <protection locked="0"/>
    </xf>
    <xf numFmtId="0" fontId="1" fillId="2" borderId="7" xfId="0"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top"/>
      <protection locked="0"/>
    </xf>
    <xf numFmtId="0" fontId="1" fillId="0" borderId="10" xfId="0" applyFont="1" applyBorder="1" applyAlignment="1" applyProtection="1">
      <alignment horizontal="center" vertical="top"/>
      <protection locked="0"/>
    </xf>
    <xf numFmtId="0" fontId="1" fillId="0" borderId="16"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0" fillId="2" borderId="6" xfId="0" applyFill="1" applyBorder="1" applyAlignment="1" applyProtection="1">
      <alignment horizontal="center" vertical="center" wrapText="1"/>
      <protection locked="0"/>
    </xf>
    <xf numFmtId="0" fontId="0" fillId="2" borderId="7" xfId="0" applyFill="1" applyBorder="1" applyAlignment="1" applyProtection="1">
      <alignment horizontal="center" vertical="center" wrapText="1"/>
      <protection locked="0"/>
    </xf>
    <xf numFmtId="0" fontId="0" fillId="2" borderId="8" xfId="0" applyFill="1" applyBorder="1" applyAlignment="1" applyProtection="1">
      <alignment horizontal="center" vertical="center" wrapText="1"/>
      <protection locked="0"/>
    </xf>
    <xf numFmtId="0" fontId="1" fillId="0" borderId="12" xfId="0" applyFont="1" applyBorder="1" applyAlignment="1" applyProtection="1">
      <alignment horizontal="center" wrapText="1"/>
      <protection locked="0"/>
    </xf>
    <xf numFmtId="0" fontId="1" fillId="0" borderId="10" xfId="0" applyFont="1" applyBorder="1" applyAlignment="1" applyProtection="1">
      <alignment horizontal="center" wrapText="1"/>
      <protection locked="0"/>
    </xf>
    <xf numFmtId="0" fontId="0" fillId="0" borderId="10" xfId="0" applyBorder="1" applyAlignment="1">
      <alignment horizontal="center" vertical="center" wrapText="1"/>
    </xf>
    <xf numFmtId="0" fontId="2" fillId="5" borderId="16" xfId="0" applyFont="1" applyFill="1" applyBorder="1" applyAlignment="1" applyProtection="1">
      <alignment horizontal="center" vertical="top"/>
      <protection locked="0"/>
    </xf>
    <xf numFmtId="0" fontId="2" fillId="5" borderId="17" xfId="0" applyFont="1" applyFill="1" applyBorder="1" applyAlignment="1" applyProtection="1">
      <alignment horizontal="center" vertical="top"/>
      <protection locked="0"/>
    </xf>
    <xf numFmtId="0" fontId="2" fillId="5" borderId="4" xfId="0" applyFont="1" applyFill="1" applyBorder="1" applyAlignment="1" applyProtection="1">
      <alignment horizontal="center" vertical="top"/>
      <protection locked="0"/>
    </xf>
    <xf numFmtId="0" fontId="2" fillId="5" borderId="1" xfId="0" applyFont="1" applyFill="1" applyBorder="1" applyAlignment="1" applyProtection="1">
      <alignment horizontal="center" vertical="top"/>
      <protection locked="0"/>
    </xf>
    <xf numFmtId="0" fontId="1" fillId="0" borderId="17" xfId="0" applyFont="1" applyBorder="1" applyAlignment="1" applyProtection="1">
      <alignment horizontal="center" vertical="center" wrapText="1"/>
      <protection locked="0"/>
    </xf>
    <xf numFmtId="0" fontId="1" fillId="0" borderId="15" xfId="0" applyFont="1" applyBorder="1" applyAlignment="1" applyProtection="1">
      <alignment horizontal="center" vertical="center" wrapText="1"/>
      <protection locked="0"/>
    </xf>
    <xf numFmtId="0" fontId="1" fillId="0" borderId="3" xfId="0" applyFont="1"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1" fillId="2" borderId="3" xfId="0" applyFont="1" applyFill="1" applyBorder="1" applyAlignment="1" applyProtection="1">
      <alignment horizontal="center" vertical="center" wrapText="1"/>
      <protection locked="0"/>
    </xf>
    <xf numFmtId="0" fontId="1" fillId="2" borderId="13" xfId="0" applyFont="1" applyFill="1" applyBorder="1" applyAlignment="1" applyProtection="1">
      <alignment horizontal="center" vertical="center" wrapText="1"/>
      <protection locked="0"/>
    </xf>
    <xf numFmtId="0" fontId="1" fillId="2" borderId="20" xfId="0" applyFont="1" applyFill="1" applyBorder="1" applyAlignment="1" applyProtection="1">
      <alignment horizontal="center" vertical="center" wrapText="1"/>
      <protection locked="0"/>
    </xf>
    <xf numFmtId="0" fontId="1" fillId="2" borderId="21" xfId="0" applyFont="1" applyFill="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1" fillId="2" borderId="5" xfId="0" quotePrefix="1" applyFont="1" applyFill="1" applyBorder="1" applyAlignment="1" applyProtection="1">
      <alignment horizontal="center" vertical="center" wrapText="1"/>
      <protection locked="0"/>
    </xf>
    <xf numFmtId="0" fontId="1" fillId="5" borderId="24" xfId="0" applyFont="1" applyFill="1" applyBorder="1" applyAlignment="1" applyProtection="1">
      <alignment horizontal="center" vertical="center" wrapText="1"/>
      <protection locked="0"/>
    </xf>
    <xf numFmtId="0" fontId="1" fillId="5" borderId="25" xfId="0" applyFont="1" applyFill="1" applyBorder="1" applyAlignment="1" applyProtection="1">
      <alignment horizontal="center" vertical="center" wrapText="1"/>
      <protection locked="0"/>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1" fillId="0" borderId="0" xfId="0" applyFont="1" applyAlignment="1">
      <alignment horizontal="center" vertical="center" wrapText="1"/>
    </xf>
    <xf numFmtId="0" fontId="1" fillId="0" borderId="18" xfId="0" applyFont="1" applyBorder="1" applyAlignment="1" applyProtection="1">
      <alignment horizontal="center" vertical="center" wrapText="1"/>
      <protection locked="0"/>
    </xf>
    <xf numFmtId="0" fontId="1" fillId="0" borderId="22" xfId="0" applyFont="1" applyBorder="1" applyAlignment="1" applyProtection="1">
      <alignment horizontal="center" vertical="center" wrapText="1"/>
      <protection locked="0"/>
    </xf>
    <xf numFmtId="0" fontId="1" fillId="0" borderId="9" xfId="0" applyFont="1" applyBorder="1" applyAlignment="1" applyProtection="1">
      <alignment horizontal="center" wrapText="1"/>
      <protection locked="0"/>
    </xf>
    <xf numFmtId="0" fontId="1" fillId="8" borderId="43" xfId="0" applyFont="1" applyFill="1" applyBorder="1" applyAlignment="1" applyProtection="1">
      <alignment horizontal="center" vertical="center" wrapText="1"/>
      <protection locked="0"/>
    </xf>
    <xf numFmtId="14" fontId="2" fillId="4" borderId="5" xfId="0" applyNumberFormat="1" applyFont="1" applyFill="1" applyBorder="1" applyAlignment="1" applyProtection="1">
      <alignment horizontal="center" vertical="top"/>
      <protection locked="0"/>
    </xf>
    <xf numFmtId="0" fontId="2" fillId="4" borderId="3" xfId="0" applyFont="1" applyFill="1" applyBorder="1" applyAlignment="1" applyProtection="1">
      <alignment horizontal="center" vertical="top"/>
      <protection locked="0"/>
    </xf>
    <xf numFmtId="0" fontId="2" fillId="4" borderId="6" xfId="0" applyFont="1" applyFill="1" applyBorder="1" applyAlignment="1" applyProtection="1">
      <alignment horizontal="center" vertical="top"/>
      <protection locked="0"/>
    </xf>
    <xf numFmtId="0" fontId="2" fillId="4" borderId="11" xfId="0" applyFont="1" applyFill="1" applyBorder="1" applyAlignment="1" applyProtection="1">
      <alignment horizontal="center" vertical="top"/>
      <protection locked="0"/>
    </xf>
    <xf numFmtId="0" fontId="2" fillId="4" borderId="0" xfId="0" applyFont="1" applyFill="1" applyAlignment="1" applyProtection="1">
      <alignment horizontal="center" vertical="top"/>
      <protection locked="0"/>
    </xf>
    <xf numFmtId="0" fontId="2" fillId="4" borderId="23" xfId="0" applyFont="1" applyFill="1" applyBorder="1" applyAlignment="1" applyProtection="1">
      <alignment horizontal="center" vertical="top"/>
      <protection locked="0"/>
    </xf>
    <xf numFmtId="0" fontId="2" fillId="4" borderId="7" xfId="0" applyFont="1" applyFill="1" applyBorder="1" applyAlignment="1" applyProtection="1">
      <alignment horizontal="center" vertical="top"/>
      <protection locked="0"/>
    </xf>
    <xf numFmtId="0" fontId="2" fillId="4" borderId="13" xfId="0" applyFont="1" applyFill="1" applyBorder="1" applyAlignment="1" applyProtection="1">
      <alignment horizontal="center" vertical="top"/>
      <protection locked="0"/>
    </xf>
    <xf numFmtId="0" fontId="2" fillId="4" borderId="8" xfId="0" applyFont="1" applyFill="1" applyBorder="1" applyAlignment="1" applyProtection="1">
      <alignment horizontal="center" vertical="top"/>
      <protection locked="0"/>
    </xf>
    <xf numFmtId="0" fontId="0" fillId="5" borderId="18" xfId="0" applyFill="1" applyBorder="1" applyAlignment="1" applyProtection="1">
      <alignment horizontal="center" vertical="top"/>
      <protection locked="0"/>
    </xf>
    <xf numFmtId="0" fontId="0" fillId="5" borderId="2" xfId="0" applyFill="1" applyBorder="1" applyAlignment="1" applyProtection="1">
      <alignment horizontal="center" vertical="top"/>
      <protection locked="0"/>
    </xf>
    <xf numFmtId="0" fontId="1" fillId="7" borderId="5" xfId="0" applyFont="1" applyFill="1" applyBorder="1" applyAlignment="1">
      <alignment horizontal="center" vertical="center" wrapText="1"/>
    </xf>
    <xf numFmtId="0" fontId="0" fillId="7" borderId="6" xfId="0" applyFill="1" applyBorder="1" applyAlignment="1">
      <alignment horizontal="center" vertical="center" wrapText="1"/>
    </xf>
    <xf numFmtId="0" fontId="0" fillId="7" borderId="7" xfId="0" applyFill="1" applyBorder="1" applyAlignment="1">
      <alignment horizontal="center" vertical="center" wrapText="1"/>
    </xf>
    <xf numFmtId="0" fontId="0" fillId="7" borderId="8" xfId="0"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7" borderId="21" xfId="0" applyFont="1" applyFill="1" applyBorder="1" applyAlignment="1">
      <alignment horizontal="center" vertical="center" wrapText="1"/>
    </xf>
    <xf numFmtId="0" fontId="1" fillId="2" borderId="43" xfId="0" applyFont="1" applyFill="1" applyBorder="1" applyAlignment="1" applyProtection="1">
      <alignment horizontal="center" vertical="center" wrapText="1"/>
      <protection locked="0"/>
    </xf>
    <xf numFmtId="164" fontId="1" fillId="2" borderId="29" xfId="0" applyNumberFormat="1" applyFont="1" applyFill="1" applyBorder="1" applyAlignment="1" applyProtection="1">
      <alignment horizontal="center" vertical="center" wrapText="1"/>
      <protection locked="0"/>
    </xf>
    <xf numFmtId="0" fontId="1" fillId="5" borderId="30" xfId="0" applyFont="1" applyFill="1" applyBorder="1" applyAlignment="1" applyProtection="1">
      <alignment horizontal="center" vertical="center" wrapText="1"/>
      <protection locked="0"/>
    </xf>
    <xf numFmtId="0" fontId="1" fillId="5" borderId="34" xfId="0" applyFont="1" applyFill="1" applyBorder="1" applyAlignment="1" applyProtection="1">
      <alignment horizontal="center" vertical="center" wrapText="1"/>
      <protection locked="0"/>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2" fillId="5" borderId="35" xfId="0" applyFont="1" applyFill="1" applyBorder="1" applyAlignment="1" applyProtection="1">
      <alignment horizontal="center" vertical="top"/>
      <protection locked="0"/>
    </xf>
    <xf numFmtId="0" fontId="2" fillId="5" borderId="36" xfId="0" applyFont="1" applyFill="1" applyBorder="1" applyAlignment="1" applyProtection="1">
      <alignment horizontal="center" vertical="top"/>
      <protection locked="0"/>
    </xf>
    <xf numFmtId="0" fontId="0" fillId="5" borderId="37" xfId="0" applyFill="1" applyBorder="1" applyAlignment="1" applyProtection="1">
      <alignment horizontal="center" vertical="top"/>
      <protection locked="0"/>
    </xf>
    <xf numFmtId="0" fontId="2" fillId="5" borderId="38" xfId="0" applyFont="1" applyFill="1" applyBorder="1" applyAlignment="1" applyProtection="1">
      <alignment horizontal="center" vertical="top"/>
      <protection locked="0"/>
    </xf>
    <xf numFmtId="0" fontId="2" fillId="5" borderId="28" xfId="0" applyFont="1" applyFill="1" applyBorder="1" applyAlignment="1" applyProtection="1">
      <alignment horizontal="center" vertical="top"/>
      <protection locked="0"/>
    </xf>
  </cellXfs>
  <cellStyles count="2">
    <cellStyle name="Normal" xfId="0" builtinId="0"/>
    <cellStyle name="Normal 2" xfId="1" xr:uid="{5AACDFA8-C698-457B-A8D6-8AEFAEDB36D4}"/>
  </cellStyles>
  <dxfs count="596">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
      <font>
        <b/>
        <i val="0"/>
        <strike val="0"/>
        <condense val="0"/>
        <extend val="0"/>
        <color indexed="57"/>
      </font>
    </dxf>
    <dxf>
      <font>
        <b/>
        <i val="0"/>
        <condense val="0"/>
        <extend val="0"/>
        <color indexed="10"/>
      </font>
    </dxf>
    <dxf>
      <font>
        <b/>
        <i val="0"/>
        <condense val="0"/>
        <extend val="0"/>
        <color indexed="10"/>
      </font>
    </dxf>
    <dxf>
      <font>
        <b/>
        <i val="0"/>
        <strike val="0"/>
        <condense val="0"/>
        <extend val="0"/>
        <color indexed="57"/>
      </font>
    </dxf>
    <dxf>
      <font>
        <b/>
        <i val="0"/>
        <condense val="0"/>
        <extend val="0"/>
        <color indexed="10"/>
      </font>
    </dxf>
    <dxf>
      <font>
        <b/>
        <i val="0"/>
        <strike val="0"/>
        <condense val="0"/>
        <extend val="0"/>
        <color indexed="57"/>
      </font>
    </dxf>
  </dxfs>
  <tableStyles count="0" defaultTableStyle="TableStyleMedium2" defaultPivotStyle="PivotStyleLight16"/>
  <colors>
    <mruColors>
      <color rgb="FFCCFFFF"/>
      <color rgb="FFFFFF99"/>
      <color rgb="FFFFFF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22860</xdr:colOff>
      <xdr:row>0</xdr:row>
      <xdr:rowOff>0</xdr:rowOff>
    </xdr:to>
    <xdr:pic>
      <xdr:nvPicPr>
        <xdr:cNvPr id="14626" name="Picture 2" descr="Cepheid_Horiz_r2">
          <a:extLst>
            <a:ext uri="{FF2B5EF4-FFF2-40B4-BE49-F238E27FC236}">
              <a16:creationId xmlns:a16="http://schemas.microsoft.com/office/drawing/2014/main" id="{00000000-0008-0000-0100-0000223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607820" y="0"/>
          <a:ext cx="10058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91440</xdr:colOff>
      <xdr:row>0</xdr:row>
      <xdr:rowOff>0</xdr:rowOff>
    </xdr:from>
    <xdr:to>
      <xdr:col>12</xdr:col>
      <xdr:colOff>342900</xdr:colOff>
      <xdr:row>0</xdr:row>
      <xdr:rowOff>0</xdr:rowOff>
    </xdr:to>
    <xdr:sp macro="" textlink="">
      <xdr:nvSpPr>
        <xdr:cNvPr id="14627" name="AutoShape 36">
          <a:extLst>
            <a:ext uri="{FF2B5EF4-FFF2-40B4-BE49-F238E27FC236}">
              <a16:creationId xmlns:a16="http://schemas.microsoft.com/office/drawing/2014/main" id="{00000000-0008-0000-0100-000023390000}"/>
            </a:ext>
          </a:extLst>
        </xdr:cNvPr>
        <xdr:cNvSpPr>
          <a:spLocks/>
        </xdr:cNvSpPr>
      </xdr:nvSpPr>
      <xdr:spPr bwMode="auto">
        <a:xfrm>
          <a:off x="10142220" y="0"/>
          <a:ext cx="25146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545465</xdr:colOff>
      <xdr:row>29</xdr:row>
      <xdr:rowOff>1</xdr:rowOff>
    </xdr:from>
    <xdr:to>
      <xdr:col>4</xdr:col>
      <xdr:colOff>323850</xdr:colOff>
      <xdr:row>40</xdr:row>
      <xdr:rowOff>122555</xdr:rowOff>
    </xdr:to>
    <xdr:grpSp>
      <xdr:nvGrpSpPr>
        <xdr:cNvPr id="14628" name="Group 56">
          <a:extLst>
            <a:ext uri="{FF2B5EF4-FFF2-40B4-BE49-F238E27FC236}">
              <a16:creationId xmlns:a16="http://schemas.microsoft.com/office/drawing/2014/main" id="{00000000-0008-0000-0100-000024390000}"/>
            </a:ext>
          </a:extLst>
        </xdr:cNvPr>
        <xdr:cNvGrpSpPr>
          <a:grpSpLocks/>
        </xdr:cNvGrpSpPr>
      </xdr:nvGrpSpPr>
      <xdr:grpSpPr bwMode="auto">
        <a:xfrm>
          <a:off x="679936" y="5094942"/>
          <a:ext cx="2647090" cy="2020084"/>
          <a:chOff x="279" y="258"/>
          <a:chExt cx="309" cy="257"/>
        </a:xfrm>
      </xdr:grpSpPr>
      <xdr:pic>
        <xdr:nvPicPr>
          <xdr:cNvPr id="14629" name="Picture 37">
            <a:extLst>
              <a:ext uri="{FF2B5EF4-FFF2-40B4-BE49-F238E27FC236}">
                <a16:creationId xmlns:a16="http://schemas.microsoft.com/office/drawing/2014/main" id="{00000000-0008-0000-0100-0000253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9" y="258"/>
            <a:ext cx="309"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100-000006000000}"/>
              </a:ext>
            </a:extLst>
          </xdr:cNvPr>
          <xdr:cNvSpPr txBox="1">
            <a:spLocks noChangeArrowheads="1"/>
          </xdr:cNvSpPr>
        </xdr:nvSpPr>
        <xdr:spPr bwMode="auto">
          <a:xfrm>
            <a:off x="429" y="438"/>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100-000007000000}"/>
              </a:ext>
            </a:extLst>
          </xdr:cNvPr>
          <xdr:cNvSpPr txBox="1">
            <a:spLocks noChangeArrowheads="1"/>
          </xdr:cNvSpPr>
        </xdr:nvSpPr>
        <xdr:spPr bwMode="auto">
          <a:xfrm>
            <a:off x="461" y="427"/>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100-000008000000}"/>
              </a:ext>
            </a:extLst>
          </xdr:cNvPr>
          <xdr:cNvSpPr txBox="1">
            <a:spLocks noChangeArrowheads="1"/>
          </xdr:cNvSpPr>
        </xdr:nvSpPr>
        <xdr:spPr bwMode="auto">
          <a:xfrm>
            <a:off x="485" y="4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100-000009000000}"/>
              </a:ext>
            </a:extLst>
          </xdr:cNvPr>
          <xdr:cNvSpPr txBox="1">
            <a:spLocks noChangeArrowheads="1"/>
          </xdr:cNvSpPr>
        </xdr:nvSpPr>
        <xdr:spPr bwMode="auto">
          <a:xfrm>
            <a:off x="500" y="359"/>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100-00000A000000}"/>
              </a:ext>
            </a:extLst>
          </xdr:cNvPr>
          <xdr:cNvSpPr txBox="1">
            <a:spLocks noChangeArrowheads="1"/>
          </xdr:cNvSpPr>
        </xdr:nvSpPr>
        <xdr:spPr bwMode="auto">
          <a:xfrm>
            <a:off x="490" y="325"/>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100-00000B000000}"/>
              </a:ext>
            </a:extLst>
          </xdr:cNvPr>
          <xdr:cNvSpPr txBox="1">
            <a:spLocks noChangeArrowheads="1"/>
          </xdr:cNvSpPr>
        </xdr:nvSpPr>
        <xdr:spPr bwMode="auto">
          <a:xfrm>
            <a:off x="465" y="294"/>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100-00000C000000}"/>
              </a:ext>
            </a:extLst>
          </xdr:cNvPr>
          <xdr:cNvSpPr txBox="1">
            <a:spLocks noChangeArrowheads="1"/>
          </xdr:cNvSpPr>
        </xdr:nvSpPr>
        <xdr:spPr bwMode="auto">
          <a:xfrm>
            <a:off x="392" y="286"/>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100-00000D000000}"/>
              </a:ext>
            </a:extLst>
          </xdr:cNvPr>
          <xdr:cNvSpPr txBox="1">
            <a:spLocks noChangeArrowheads="1"/>
          </xdr:cNvSpPr>
        </xdr:nvSpPr>
        <xdr:spPr bwMode="auto">
          <a:xfrm>
            <a:off x="426" y="279"/>
            <a:ext cx="30" cy="2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100-00000E000000}"/>
              </a:ext>
            </a:extLst>
          </xdr:cNvPr>
          <xdr:cNvSpPr txBox="1">
            <a:spLocks noChangeArrowheads="1"/>
          </xdr:cNvSpPr>
        </xdr:nvSpPr>
        <xdr:spPr bwMode="auto">
          <a:xfrm>
            <a:off x="361" y="3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100-00000F000000}"/>
              </a:ext>
            </a:extLst>
          </xdr:cNvPr>
          <xdr:cNvSpPr txBox="1">
            <a:spLocks noChangeArrowheads="1"/>
          </xdr:cNvSpPr>
        </xdr:nvSpPr>
        <xdr:spPr bwMode="auto">
          <a:xfrm>
            <a:off x="345" y="342"/>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100-000010000000}"/>
              </a:ext>
            </a:extLst>
          </xdr:cNvPr>
          <xdr:cNvSpPr txBox="1">
            <a:spLocks noChangeArrowheads="1"/>
          </xdr:cNvSpPr>
        </xdr:nvSpPr>
        <xdr:spPr bwMode="auto">
          <a:xfrm>
            <a:off x="339" y="378"/>
            <a:ext cx="50" cy="3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100-000011000000}"/>
              </a:ext>
            </a:extLst>
          </xdr:cNvPr>
          <xdr:cNvSpPr txBox="1">
            <a:spLocks noChangeArrowheads="1"/>
          </xdr:cNvSpPr>
        </xdr:nvSpPr>
        <xdr:spPr bwMode="auto">
          <a:xfrm>
            <a:off x="355" y="411"/>
            <a:ext cx="51" cy="3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100-000012000000}"/>
              </a:ext>
            </a:extLst>
          </xdr:cNvPr>
          <xdr:cNvSpPr txBox="1">
            <a:spLocks noChangeArrowheads="1"/>
          </xdr:cNvSpPr>
        </xdr:nvSpPr>
        <xdr:spPr bwMode="auto">
          <a:xfrm>
            <a:off x="391" y="430"/>
            <a:ext cx="37"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49</xdr:row>
          <xdr:rowOff>0</xdr:rowOff>
        </xdr:from>
        <xdr:to>
          <xdr:col>7</xdr:col>
          <xdr:colOff>1104900</xdr:colOff>
          <xdr:row>50</xdr:row>
          <xdr:rowOff>25400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952500" y="0"/>
          <a:ext cx="85153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200-000003000000}"/>
            </a:ext>
          </a:extLst>
        </xdr:cNvPr>
        <xdr:cNvSpPr>
          <a:spLocks/>
        </xdr:cNvSpPr>
      </xdr:nvSpPr>
      <xdr:spPr bwMode="auto">
        <a:xfrm>
          <a:off x="8740140" y="0"/>
          <a:ext cx="25146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2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2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2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2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2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2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2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2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2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2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2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2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2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2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1104900</xdr:colOff>
          <xdr:row>50</xdr:row>
          <xdr:rowOff>50800</xdr:rowOff>
        </xdr:to>
        <xdr:sp macro="" textlink="">
          <xdr:nvSpPr>
            <xdr:cNvPr id="45058" name="Check Box 2" hidden="1">
              <a:extLst>
                <a:ext uri="{63B3BB69-23CF-44E3-9099-C40C66FF867C}">
                  <a14:compatExt spid="_x0000_s45058"/>
                </a:ext>
                <a:ext uri="{FF2B5EF4-FFF2-40B4-BE49-F238E27FC236}">
                  <a16:creationId xmlns:a16="http://schemas.microsoft.com/office/drawing/2014/main" id="{00000000-0008-0000-0200-000002B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2954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3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3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3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3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3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3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3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3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3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3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3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3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3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3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3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05473" name="Check Box 1" hidden="1">
              <a:extLst>
                <a:ext uri="{63B3BB69-23CF-44E3-9099-C40C66FF867C}">
                  <a14:compatExt spid="_x0000_s105473"/>
                </a:ext>
                <a:ext uri="{FF2B5EF4-FFF2-40B4-BE49-F238E27FC236}">
                  <a16:creationId xmlns:a16="http://schemas.microsoft.com/office/drawing/2014/main" id="{00000000-0008-0000-0300-0000019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2954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4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4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4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4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4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4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4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4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4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4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4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4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4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4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4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06497" name="Check Box 1" hidden="1">
              <a:extLst>
                <a:ext uri="{63B3BB69-23CF-44E3-9099-C40C66FF867C}">
                  <a14:compatExt spid="_x0000_s106497"/>
                </a:ext>
                <a:ext uri="{FF2B5EF4-FFF2-40B4-BE49-F238E27FC236}">
                  <a16:creationId xmlns:a16="http://schemas.microsoft.com/office/drawing/2014/main" id="{00000000-0008-0000-0400-000001A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2954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5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5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5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5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5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5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5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5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5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5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5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5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5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5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5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07521" name="Check Box 1" hidden="1">
              <a:extLst>
                <a:ext uri="{63B3BB69-23CF-44E3-9099-C40C66FF867C}">
                  <a14:compatExt spid="_x0000_s107521"/>
                </a:ext>
                <a:ext uri="{FF2B5EF4-FFF2-40B4-BE49-F238E27FC236}">
                  <a16:creationId xmlns:a16="http://schemas.microsoft.com/office/drawing/2014/main" id="{00000000-0008-0000-0500-000001A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3335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6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6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6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6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6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6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6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6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6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6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6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6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6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6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6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08545" name="Check Box 1" hidden="1">
              <a:extLst>
                <a:ext uri="{63B3BB69-23CF-44E3-9099-C40C66FF867C}">
                  <a14:compatExt spid="_x0000_s108545"/>
                </a:ext>
                <a:ext uri="{FF2B5EF4-FFF2-40B4-BE49-F238E27FC236}">
                  <a16:creationId xmlns:a16="http://schemas.microsoft.com/office/drawing/2014/main" id="{00000000-0008-0000-0600-000001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2954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7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7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7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7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7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7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7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7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7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7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7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7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7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7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7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09569" name="Check Box 1" hidden="1">
              <a:extLst>
                <a:ext uri="{63B3BB69-23CF-44E3-9099-C40C66FF867C}">
                  <a14:compatExt spid="_x0000_s109569"/>
                </a:ext>
                <a:ext uri="{FF2B5EF4-FFF2-40B4-BE49-F238E27FC236}">
                  <a16:creationId xmlns:a16="http://schemas.microsoft.com/office/drawing/2014/main" id="{00000000-0008-0000-0700-000001A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2954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8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8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8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8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8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8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8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8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8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8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8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8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8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8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8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10593" name="Check Box 1" hidden="1">
              <a:extLst>
                <a:ext uri="{63B3BB69-23CF-44E3-9099-C40C66FF867C}">
                  <a14:compatExt spid="_x0000_s110593"/>
                </a:ext>
                <a:ext uri="{FF2B5EF4-FFF2-40B4-BE49-F238E27FC236}">
                  <a16:creationId xmlns:a16="http://schemas.microsoft.com/office/drawing/2014/main" id="{00000000-0008-0000-0800-000001B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2954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9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9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9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9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9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9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9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9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9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9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9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9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9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9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9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11617" name="Check Box 1" hidden="1">
              <a:extLst>
                <a:ext uri="{63B3BB69-23CF-44E3-9099-C40C66FF867C}">
                  <a14:compatExt spid="_x0000_s111617"/>
                </a:ext>
                <a:ext uri="{FF2B5EF4-FFF2-40B4-BE49-F238E27FC236}">
                  <a16:creationId xmlns:a16="http://schemas.microsoft.com/office/drawing/2014/main" id="{00000000-0008-0000-0900-000001B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3335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A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A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A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A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A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A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A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A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A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A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A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A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A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A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A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12641" name="Check Box 1" hidden="1">
              <a:extLst>
                <a:ext uri="{63B3BB69-23CF-44E3-9099-C40C66FF867C}">
                  <a14:compatExt spid="_x0000_s112641"/>
                </a:ext>
                <a:ext uri="{FF2B5EF4-FFF2-40B4-BE49-F238E27FC236}">
                  <a16:creationId xmlns:a16="http://schemas.microsoft.com/office/drawing/2014/main" id="{00000000-0008-0000-0A00-000001B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2954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B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B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B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B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B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B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B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B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B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B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B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B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B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B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B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13665" name="Check Box 1" hidden="1">
              <a:extLst>
                <a:ext uri="{63B3BB69-23CF-44E3-9099-C40C66FF867C}">
                  <a14:compatExt spid="_x0000_s113665"/>
                </a:ext>
                <a:ext uri="{FF2B5EF4-FFF2-40B4-BE49-F238E27FC236}">
                  <a16:creationId xmlns:a16="http://schemas.microsoft.com/office/drawing/2014/main" id="{00000000-0008-0000-0B00-000001B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2954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C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C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C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C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C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C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C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C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C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C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C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C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C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C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C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14689" name="Check Box 1" hidden="1">
              <a:extLst>
                <a:ext uri="{63B3BB69-23CF-44E3-9099-C40C66FF867C}">
                  <a14:compatExt spid="_x0000_s114689"/>
                </a:ext>
                <a:ext uri="{FF2B5EF4-FFF2-40B4-BE49-F238E27FC236}">
                  <a16:creationId xmlns:a16="http://schemas.microsoft.com/office/drawing/2014/main" id="{00000000-0008-0000-0C00-000001C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pic>
      <xdr:nvPicPr>
        <xdr:cNvPr id="2" name="Picture 2" descr="Cepheid_Horiz_r2">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9182" t="20735" r="19629" b="33780"/>
        <a:stretch>
          <a:fillRect/>
        </a:stretch>
      </xdr:blipFill>
      <xdr:spPr bwMode="auto">
        <a:xfrm>
          <a:off x="12954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0</xdr:row>
      <xdr:rowOff>0</xdr:rowOff>
    </xdr:to>
    <xdr:sp macro="" textlink="">
      <xdr:nvSpPr>
        <xdr:cNvPr id="3" name="AutoShape 36">
          <a:extLst>
            <a:ext uri="{FF2B5EF4-FFF2-40B4-BE49-F238E27FC236}">
              <a16:creationId xmlns:a16="http://schemas.microsoft.com/office/drawing/2014/main" id="{00000000-0008-0000-0D00-000003000000}"/>
            </a:ext>
          </a:extLst>
        </xdr:cNvPr>
        <xdr:cNvSpPr>
          <a:spLocks/>
        </xdr:cNvSpPr>
      </xdr:nvSpPr>
      <xdr:spPr bwMode="auto">
        <a:xfrm>
          <a:off x="129540" y="0"/>
          <a:ext cx="0" cy="0"/>
        </a:xfrm>
        <a:prstGeom prst="rightBrace">
          <a:avLst>
            <a:gd name="adj1" fmla="val -2147483648"/>
            <a:gd name="adj2" fmla="val 50000"/>
          </a:avLst>
        </a:prstGeom>
        <a:noFill/>
        <a:ln w="9525">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292902</xdr:colOff>
      <xdr:row>29</xdr:row>
      <xdr:rowOff>65830</xdr:rowOff>
    </xdr:from>
    <xdr:to>
      <xdr:col>3</xdr:col>
      <xdr:colOff>847890</xdr:colOff>
      <xdr:row>40</xdr:row>
      <xdr:rowOff>101893</xdr:rowOff>
    </xdr:to>
    <xdr:grpSp>
      <xdr:nvGrpSpPr>
        <xdr:cNvPr id="4" name="Group 56">
          <a:extLst>
            <a:ext uri="{FF2B5EF4-FFF2-40B4-BE49-F238E27FC236}">
              <a16:creationId xmlns:a16="http://schemas.microsoft.com/office/drawing/2014/main" id="{00000000-0008-0000-0D00-000004000000}"/>
            </a:ext>
          </a:extLst>
        </xdr:cNvPr>
        <xdr:cNvGrpSpPr>
          <a:grpSpLocks/>
        </xdr:cNvGrpSpPr>
      </xdr:nvGrpSpPr>
      <xdr:grpSpPr bwMode="auto">
        <a:xfrm>
          <a:off x="427373" y="4563124"/>
          <a:ext cx="2467458" cy="1679593"/>
          <a:chOff x="274" y="358"/>
          <a:chExt cx="310" cy="257"/>
        </a:xfrm>
      </xdr:grpSpPr>
      <xdr:pic>
        <xdr:nvPicPr>
          <xdr:cNvPr id="5" name="Picture 37">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042" t="17036" r="20000" b="17729"/>
          <a:stretch>
            <a:fillRect/>
          </a:stretch>
        </xdr:blipFill>
        <xdr:spPr bwMode="auto">
          <a:xfrm>
            <a:off x="274" y="358"/>
            <a:ext cx="310" cy="257"/>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6" name="Text Box 38">
            <a:extLst>
              <a:ext uri="{FF2B5EF4-FFF2-40B4-BE49-F238E27FC236}">
                <a16:creationId xmlns:a16="http://schemas.microsoft.com/office/drawing/2014/main" id="{00000000-0008-0000-0D00-000006000000}"/>
              </a:ext>
            </a:extLst>
          </xdr:cNvPr>
          <xdr:cNvSpPr txBox="1">
            <a:spLocks noChangeArrowheads="1"/>
          </xdr:cNvSpPr>
        </xdr:nvSpPr>
        <xdr:spPr bwMode="auto">
          <a:xfrm>
            <a:off x="434" y="541"/>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a:t>
            </a:r>
            <a:endParaRPr lang="en-US"/>
          </a:p>
        </xdr:txBody>
      </xdr:sp>
      <xdr:sp macro="" textlink="">
        <xdr:nvSpPr>
          <xdr:cNvPr id="7" name="Text Box 39">
            <a:extLst>
              <a:ext uri="{FF2B5EF4-FFF2-40B4-BE49-F238E27FC236}">
                <a16:creationId xmlns:a16="http://schemas.microsoft.com/office/drawing/2014/main" id="{00000000-0008-0000-0D00-000007000000}"/>
              </a:ext>
            </a:extLst>
          </xdr:cNvPr>
          <xdr:cNvSpPr txBox="1">
            <a:spLocks noChangeArrowheads="1"/>
          </xdr:cNvSpPr>
        </xdr:nvSpPr>
        <xdr:spPr bwMode="auto">
          <a:xfrm flipV="1">
            <a:off x="474" y="525"/>
            <a:ext cx="27"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sp macro="" textlink="">
        <xdr:nvSpPr>
          <xdr:cNvPr id="8" name="Text Box 40">
            <a:extLst>
              <a:ext uri="{FF2B5EF4-FFF2-40B4-BE49-F238E27FC236}">
                <a16:creationId xmlns:a16="http://schemas.microsoft.com/office/drawing/2014/main" id="{00000000-0008-0000-0D00-000008000000}"/>
              </a:ext>
            </a:extLst>
          </xdr:cNvPr>
          <xdr:cNvSpPr txBox="1">
            <a:spLocks noChangeArrowheads="1"/>
          </xdr:cNvSpPr>
        </xdr:nvSpPr>
        <xdr:spPr bwMode="auto">
          <a:xfrm>
            <a:off x="494" y="500"/>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3</a:t>
            </a:r>
            <a:endParaRPr lang="en-US"/>
          </a:p>
        </xdr:txBody>
      </xdr:sp>
      <xdr:sp macro="" textlink="">
        <xdr:nvSpPr>
          <xdr:cNvPr id="9" name="Text Box 41">
            <a:extLst>
              <a:ext uri="{FF2B5EF4-FFF2-40B4-BE49-F238E27FC236}">
                <a16:creationId xmlns:a16="http://schemas.microsoft.com/office/drawing/2014/main" id="{00000000-0008-0000-0D00-000009000000}"/>
              </a:ext>
            </a:extLst>
          </xdr:cNvPr>
          <xdr:cNvSpPr txBox="1">
            <a:spLocks noChangeArrowheads="1"/>
          </xdr:cNvSpPr>
        </xdr:nvSpPr>
        <xdr:spPr bwMode="auto">
          <a:xfrm>
            <a:off x="497" y="457"/>
            <a:ext cx="30" cy="2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4</a:t>
            </a:r>
            <a:endParaRPr lang="en-US"/>
          </a:p>
        </xdr:txBody>
      </xdr:sp>
      <xdr:sp macro="" textlink="">
        <xdr:nvSpPr>
          <xdr:cNvPr id="10" name="Text Box 42">
            <a:extLst>
              <a:ext uri="{FF2B5EF4-FFF2-40B4-BE49-F238E27FC236}">
                <a16:creationId xmlns:a16="http://schemas.microsoft.com/office/drawing/2014/main" id="{00000000-0008-0000-0D00-00000A000000}"/>
              </a:ext>
            </a:extLst>
          </xdr:cNvPr>
          <xdr:cNvSpPr txBox="1">
            <a:spLocks noChangeArrowheads="1"/>
          </xdr:cNvSpPr>
        </xdr:nvSpPr>
        <xdr:spPr bwMode="auto">
          <a:xfrm>
            <a:off x="494" y="424"/>
            <a:ext cx="30"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5</a:t>
            </a:r>
            <a:endParaRPr lang="en-US"/>
          </a:p>
        </xdr:txBody>
      </xdr:sp>
      <xdr:sp macro="" textlink="">
        <xdr:nvSpPr>
          <xdr:cNvPr id="11" name="Text Box 43">
            <a:extLst>
              <a:ext uri="{FF2B5EF4-FFF2-40B4-BE49-F238E27FC236}">
                <a16:creationId xmlns:a16="http://schemas.microsoft.com/office/drawing/2014/main" id="{00000000-0008-0000-0D00-00000B000000}"/>
              </a:ext>
            </a:extLst>
          </xdr:cNvPr>
          <xdr:cNvSpPr txBox="1">
            <a:spLocks noChangeArrowheads="1"/>
          </xdr:cNvSpPr>
        </xdr:nvSpPr>
        <xdr:spPr bwMode="auto">
          <a:xfrm>
            <a:off x="469" y="387"/>
            <a:ext cx="30" cy="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6</a:t>
            </a:r>
            <a:endParaRPr lang="en-US"/>
          </a:p>
        </xdr:txBody>
      </xdr:sp>
      <xdr:sp macro="" textlink="">
        <xdr:nvSpPr>
          <xdr:cNvPr id="12" name="Text Box 44">
            <a:extLst>
              <a:ext uri="{FF2B5EF4-FFF2-40B4-BE49-F238E27FC236}">
                <a16:creationId xmlns:a16="http://schemas.microsoft.com/office/drawing/2014/main" id="{00000000-0008-0000-0D00-00000C000000}"/>
              </a:ext>
            </a:extLst>
          </xdr:cNvPr>
          <xdr:cNvSpPr txBox="1">
            <a:spLocks noChangeArrowheads="1"/>
          </xdr:cNvSpPr>
        </xdr:nvSpPr>
        <xdr:spPr bwMode="auto">
          <a:xfrm>
            <a:off x="382" y="380"/>
            <a:ext cx="30" cy="2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7</a:t>
            </a:r>
            <a:endParaRPr lang="en-US"/>
          </a:p>
        </xdr:txBody>
      </xdr:sp>
      <xdr:sp macro="" textlink="">
        <xdr:nvSpPr>
          <xdr:cNvPr id="13" name="Text Box 45">
            <a:extLst>
              <a:ext uri="{FF2B5EF4-FFF2-40B4-BE49-F238E27FC236}">
                <a16:creationId xmlns:a16="http://schemas.microsoft.com/office/drawing/2014/main" id="{00000000-0008-0000-0D00-00000D000000}"/>
              </a:ext>
            </a:extLst>
          </xdr:cNvPr>
          <xdr:cNvSpPr txBox="1">
            <a:spLocks noChangeArrowheads="1"/>
          </xdr:cNvSpPr>
        </xdr:nvSpPr>
        <xdr:spPr bwMode="auto">
          <a:xfrm>
            <a:off x="426" y="376"/>
            <a:ext cx="25" cy="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4" name="Text Box 46">
            <a:extLst>
              <a:ext uri="{FF2B5EF4-FFF2-40B4-BE49-F238E27FC236}">
                <a16:creationId xmlns:a16="http://schemas.microsoft.com/office/drawing/2014/main" id="{00000000-0008-0000-0D00-00000E000000}"/>
              </a:ext>
            </a:extLst>
          </xdr:cNvPr>
          <xdr:cNvSpPr txBox="1">
            <a:spLocks noChangeArrowheads="1"/>
          </xdr:cNvSpPr>
        </xdr:nvSpPr>
        <xdr:spPr bwMode="auto">
          <a:xfrm>
            <a:off x="344" y="409"/>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8</a:t>
            </a:r>
            <a:endParaRPr lang="en-US"/>
          </a:p>
        </xdr:txBody>
      </xdr:sp>
      <xdr:sp macro="" textlink="">
        <xdr:nvSpPr>
          <xdr:cNvPr id="15" name="Text Box 47">
            <a:extLst>
              <a:ext uri="{FF2B5EF4-FFF2-40B4-BE49-F238E27FC236}">
                <a16:creationId xmlns:a16="http://schemas.microsoft.com/office/drawing/2014/main" id="{00000000-0008-0000-0D00-00000F000000}"/>
              </a:ext>
            </a:extLst>
          </xdr:cNvPr>
          <xdr:cNvSpPr txBox="1">
            <a:spLocks noChangeArrowheads="1"/>
          </xdr:cNvSpPr>
        </xdr:nvSpPr>
        <xdr:spPr bwMode="auto">
          <a:xfrm>
            <a:off x="333" y="444"/>
            <a:ext cx="37" cy="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9</a:t>
            </a:r>
            <a:endParaRPr lang="en-US"/>
          </a:p>
        </xdr:txBody>
      </xdr:sp>
      <xdr:sp macro="" textlink="">
        <xdr:nvSpPr>
          <xdr:cNvPr id="16" name="Text Box 48">
            <a:extLst>
              <a:ext uri="{FF2B5EF4-FFF2-40B4-BE49-F238E27FC236}">
                <a16:creationId xmlns:a16="http://schemas.microsoft.com/office/drawing/2014/main" id="{00000000-0008-0000-0D00-000010000000}"/>
              </a:ext>
            </a:extLst>
          </xdr:cNvPr>
          <xdr:cNvSpPr txBox="1">
            <a:spLocks noChangeArrowheads="1"/>
          </xdr:cNvSpPr>
        </xdr:nvSpPr>
        <xdr:spPr bwMode="auto">
          <a:xfrm>
            <a:off x="331" y="481"/>
            <a:ext cx="68" cy="3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10</a:t>
            </a:r>
            <a:endParaRPr lang="en-US"/>
          </a:p>
        </xdr:txBody>
      </xdr:sp>
      <xdr:sp macro="" textlink="">
        <xdr:nvSpPr>
          <xdr:cNvPr id="17" name="Text Box 49">
            <a:extLst>
              <a:ext uri="{FF2B5EF4-FFF2-40B4-BE49-F238E27FC236}">
                <a16:creationId xmlns:a16="http://schemas.microsoft.com/office/drawing/2014/main" id="{00000000-0008-0000-0D00-000011000000}"/>
              </a:ext>
            </a:extLst>
          </xdr:cNvPr>
          <xdr:cNvSpPr txBox="1">
            <a:spLocks noChangeArrowheads="1"/>
          </xdr:cNvSpPr>
        </xdr:nvSpPr>
        <xdr:spPr bwMode="auto">
          <a:xfrm>
            <a:off x="347" y="519"/>
            <a:ext cx="64" cy="4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11</a:t>
            </a:r>
            <a:endParaRPr lang="en-US"/>
          </a:p>
        </xdr:txBody>
      </xdr:sp>
      <xdr:sp macro="" textlink="">
        <xdr:nvSpPr>
          <xdr:cNvPr id="18" name="Text Box 54">
            <a:extLst>
              <a:ext uri="{FF2B5EF4-FFF2-40B4-BE49-F238E27FC236}">
                <a16:creationId xmlns:a16="http://schemas.microsoft.com/office/drawing/2014/main" id="{00000000-0008-0000-0D00-000012000000}"/>
              </a:ext>
            </a:extLst>
          </xdr:cNvPr>
          <xdr:cNvSpPr txBox="1">
            <a:spLocks noChangeArrowheads="1"/>
          </xdr:cNvSpPr>
        </xdr:nvSpPr>
        <xdr:spPr bwMode="auto">
          <a:xfrm>
            <a:off x="385" y="534"/>
            <a:ext cx="30" cy="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en-US" sz="1000" b="1" i="0" u="none" strike="noStrike" baseline="0">
                <a:solidFill>
                  <a:srgbClr val="000000"/>
                </a:solidFill>
                <a:latin typeface="Arial"/>
                <a:cs typeface="Arial"/>
              </a:rPr>
              <a:t>2</a:t>
            </a:r>
            <a:endParaRPr lang="en-US"/>
          </a:p>
        </xdr:txBody>
      </xdr:sp>
    </xdr:grpSp>
    <xdr:clientData/>
  </xdr:twoCellAnchor>
  <mc:AlternateContent xmlns:mc="http://schemas.openxmlformats.org/markup-compatibility/2006">
    <mc:Choice xmlns:a14="http://schemas.microsoft.com/office/drawing/2010/main" Requires="a14">
      <xdr:twoCellAnchor editAs="oneCell">
        <xdr:from>
          <xdr:col>7</xdr:col>
          <xdr:colOff>266700</xdr:colOff>
          <xdr:row>48</xdr:row>
          <xdr:rowOff>139700</xdr:rowOff>
        </xdr:from>
        <xdr:to>
          <xdr:col>7</xdr:col>
          <xdr:colOff>1130300</xdr:colOff>
          <xdr:row>50</xdr:row>
          <xdr:rowOff>50800</xdr:rowOff>
        </xdr:to>
        <xdr:sp macro="" textlink="">
          <xdr:nvSpPr>
            <xdr:cNvPr id="115713" name="Check Box 1" hidden="1">
              <a:extLst>
                <a:ext uri="{63B3BB69-23CF-44E3-9099-C40C66FF867C}">
                  <a14:compatExt spid="_x0000_s115713"/>
                </a:ext>
                <a:ext uri="{FF2B5EF4-FFF2-40B4-BE49-F238E27FC236}">
                  <a16:creationId xmlns:a16="http://schemas.microsoft.com/office/drawing/2014/main" id="{00000000-0008-0000-0D00-000001C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91440" tIns="45720" rIns="91440" bIns="4572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91440" tIns="45720" rIns="91440" bIns="4572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rinterSettings" Target="../printerSettings/printerSettings8.bin"/><Relationship Id="rId7" Type="http://schemas.openxmlformats.org/officeDocument/2006/relationships/vmlDrawing" Target="../drawings/vmlDrawing1.v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6" Type="http://schemas.openxmlformats.org/officeDocument/2006/relationships/drawing" Target="../drawings/drawing1.xml"/><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rinterSettings" Target="../printerSettings/printerSettings13.bin"/><Relationship Id="rId7" Type="http://schemas.openxmlformats.org/officeDocument/2006/relationships/vmlDrawing" Target="../drawings/vmlDrawing2.v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6" Type="http://schemas.openxmlformats.org/officeDocument/2006/relationships/drawing" Target="../drawings/drawing2.xml"/><Relationship Id="rId5" Type="http://schemas.openxmlformats.org/officeDocument/2006/relationships/printerSettings" Target="../printerSettings/printerSettings15.bin"/><Relationship Id="rId4" Type="http://schemas.openxmlformats.org/officeDocument/2006/relationships/printerSettings" Target="../printerSettings/printerSettings14.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3.xml"/><Relationship Id="rId3" Type="http://schemas.openxmlformats.org/officeDocument/2006/relationships/printerSettings" Target="../printerSettings/printerSettings18.bin"/><Relationship Id="rId7" Type="http://schemas.openxmlformats.org/officeDocument/2006/relationships/vmlDrawing" Target="../drawings/vmlDrawing3.vml"/><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6" Type="http://schemas.openxmlformats.org/officeDocument/2006/relationships/drawing" Target="../drawings/drawing3.xml"/><Relationship Id="rId5" Type="http://schemas.openxmlformats.org/officeDocument/2006/relationships/printerSettings" Target="../printerSettings/printerSettings20.bin"/><Relationship Id="rId4" Type="http://schemas.openxmlformats.org/officeDocument/2006/relationships/printerSettings" Target="../printerSettings/printerSettings19.bin"/></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printerSettings" Target="../printerSettings/printerSettings23.bin"/><Relationship Id="rId7" Type="http://schemas.openxmlformats.org/officeDocument/2006/relationships/vmlDrawing" Target="../drawings/vmlDrawing4.v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drawing" Target="../drawings/drawing4.xml"/><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printerSettings" Target="../printerSettings/printerSettings28.bin"/><Relationship Id="rId7" Type="http://schemas.openxmlformats.org/officeDocument/2006/relationships/vmlDrawing" Target="../drawings/vmlDrawing5.vml"/><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6" Type="http://schemas.openxmlformats.org/officeDocument/2006/relationships/drawing" Target="../drawings/drawing5.xml"/><Relationship Id="rId5" Type="http://schemas.openxmlformats.org/officeDocument/2006/relationships/printerSettings" Target="../printerSettings/printerSettings30.bin"/><Relationship Id="rId4" Type="http://schemas.openxmlformats.org/officeDocument/2006/relationships/printerSettings" Target="../printerSettings/printerSettings29.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printerSettings" Target="../printerSettings/printerSettings33.bin"/><Relationship Id="rId7" Type="http://schemas.openxmlformats.org/officeDocument/2006/relationships/vmlDrawing" Target="../drawings/vmlDrawing6.v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drawing" Target="../drawings/drawing6.xml"/><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38.bin"/><Relationship Id="rId7" Type="http://schemas.openxmlformats.org/officeDocument/2006/relationships/vmlDrawing" Target="../drawings/vmlDrawing7.vml"/><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 Id="rId6" Type="http://schemas.openxmlformats.org/officeDocument/2006/relationships/drawing" Target="../drawings/drawing7.xml"/><Relationship Id="rId5" Type="http://schemas.openxmlformats.org/officeDocument/2006/relationships/printerSettings" Target="../printerSettings/printerSettings40.bin"/><Relationship Id="rId4" Type="http://schemas.openxmlformats.org/officeDocument/2006/relationships/printerSettings" Target="../printerSettings/printerSettings39.bin"/></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printerSettings" Target="../printerSettings/printerSettings43.bin"/><Relationship Id="rId7" Type="http://schemas.openxmlformats.org/officeDocument/2006/relationships/vmlDrawing" Target="../drawings/vmlDrawing8.vml"/><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6" Type="http://schemas.openxmlformats.org/officeDocument/2006/relationships/drawing" Target="../drawings/drawing8.xml"/><Relationship Id="rId5" Type="http://schemas.openxmlformats.org/officeDocument/2006/relationships/printerSettings" Target="../printerSettings/printerSettings45.bin"/><Relationship Id="rId4" Type="http://schemas.openxmlformats.org/officeDocument/2006/relationships/printerSettings" Target="../printerSettings/printerSettings44.bin"/></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9.xml"/><Relationship Id="rId3" Type="http://schemas.openxmlformats.org/officeDocument/2006/relationships/printerSettings" Target="../printerSettings/printerSettings48.bin"/><Relationship Id="rId7" Type="http://schemas.openxmlformats.org/officeDocument/2006/relationships/vmlDrawing" Target="../drawings/vmlDrawing9.vml"/><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drawing" Target="../drawings/drawing9.xml"/><Relationship Id="rId5" Type="http://schemas.openxmlformats.org/officeDocument/2006/relationships/printerSettings" Target="../printerSettings/printerSettings50.bin"/><Relationship Id="rId4" Type="http://schemas.openxmlformats.org/officeDocument/2006/relationships/printerSettings" Target="../printerSettings/printerSettings49.bin"/></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0.xml"/><Relationship Id="rId3" Type="http://schemas.openxmlformats.org/officeDocument/2006/relationships/printerSettings" Target="../printerSettings/printerSettings53.bin"/><Relationship Id="rId7" Type="http://schemas.openxmlformats.org/officeDocument/2006/relationships/vmlDrawing" Target="../drawings/vmlDrawing10.vml"/><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 Id="rId6" Type="http://schemas.openxmlformats.org/officeDocument/2006/relationships/drawing" Target="../drawings/drawing10.xml"/><Relationship Id="rId5" Type="http://schemas.openxmlformats.org/officeDocument/2006/relationships/printerSettings" Target="../printerSettings/printerSettings55.bin"/><Relationship Id="rId4" Type="http://schemas.openxmlformats.org/officeDocument/2006/relationships/printerSettings" Target="../printerSettings/printerSettings54.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printerSettings" Target="../printerSettings/printerSettings58.bin"/><Relationship Id="rId7" Type="http://schemas.openxmlformats.org/officeDocument/2006/relationships/vmlDrawing" Target="../drawings/vmlDrawing11.vml"/><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 Id="rId6" Type="http://schemas.openxmlformats.org/officeDocument/2006/relationships/drawing" Target="../drawings/drawing11.xml"/><Relationship Id="rId5" Type="http://schemas.openxmlformats.org/officeDocument/2006/relationships/printerSettings" Target="../printerSettings/printerSettings60.bin"/><Relationship Id="rId4" Type="http://schemas.openxmlformats.org/officeDocument/2006/relationships/printerSettings" Target="../printerSettings/printerSettings59.bin"/></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12.xml"/><Relationship Id="rId3" Type="http://schemas.openxmlformats.org/officeDocument/2006/relationships/printerSettings" Target="../printerSettings/printerSettings63.bin"/><Relationship Id="rId7" Type="http://schemas.openxmlformats.org/officeDocument/2006/relationships/vmlDrawing" Target="../drawings/vmlDrawing12.vml"/><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drawing" Target="../drawings/drawing12.xml"/><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13.xml"/><Relationship Id="rId3" Type="http://schemas.openxmlformats.org/officeDocument/2006/relationships/printerSettings" Target="../printerSettings/printerSettings68.bin"/><Relationship Id="rId7" Type="http://schemas.openxmlformats.org/officeDocument/2006/relationships/vmlDrawing" Target="../drawings/vmlDrawing13.vml"/><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drawing" Target="../drawings/drawing13.xml"/><Relationship Id="rId5" Type="http://schemas.openxmlformats.org/officeDocument/2006/relationships/printerSettings" Target="../printerSettings/printerSettings70.bin"/><Relationship Id="rId4" Type="http://schemas.openxmlformats.org/officeDocument/2006/relationships/printerSettings" Target="../printerSettings/printerSettings6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024-E652-42B5-8266-9927A4EAC75D}">
  <dimension ref="A1:L67"/>
  <sheetViews>
    <sheetView zoomScaleNormal="100" workbookViewId="0">
      <selection activeCell="J19" sqref="J19:J20"/>
    </sheetView>
  </sheetViews>
  <sheetFormatPr baseColWidth="10" defaultColWidth="8.83203125" defaultRowHeight="13" x14ac:dyDescent="0.15"/>
  <cols>
    <col min="1" max="1" width="20" style="1" customWidth="1"/>
    <col min="2" max="2" width="32.5" style="3" customWidth="1"/>
    <col min="3" max="3" width="3.5" style="1" customWidth="1"/>
    <col min="4" max="4" width="8.83203125" style="1" customWidth="1"/>
    <col min="5" max="5" width="11.5" style="1" customWidth="1"/>
    <col min="6" max="6" width="3.5" style="1" customWidth="1"/>
    <col min="7" max="7" width="7.5" style="1" customWidth="1"/>
    <col min="8" max="8" width="22" style="1" customWidth="1"/>
    <col min="9" max="9" width="8.83203125" style="1" customWidth="1"/>
    <col min="10" max="10" width="55.5" style="1" customWidth="1"/>
    <col min="11" max="11" width="8.5" style="1" customWidth="1"/>
    <col min="12" max="15" width="8.83203125" style="1" customWidth="1"/>
    <col min="16" max="16" width="9.5" style="1" customWidth="1"/>
    <col min="17" max="16384" width="8.83203125" style="1"/>
  </cols>
  <sheetData>
    <row r="1" spans="1:12" ht="17.5" customHeight="1" x14ac:dyDescent="0.15">
      <c r="A1" s="61" t="s">
        <v>3</v>
      </c>
      <c r="B1" s="61"/>
      <c r="C1" s="61"/>
      <c r="D1" s="61"/>
      <c r="E1" s="61"/>
      <c r="F1" s="61"/>
      <c r="G1" s="61"/>
      <c r="H1" s="61"/>
      <c r="I1" s="61"/>
      <c r="J1" s="61"/>
      <c r="K1" s="61"/>
    </row>
    <row r="2" spans="1:12" ht="16" x14ac:dyDescent="0.2">
      <c r="A2" s="2" t="s">
        <v>6</v>
      </c>
    </row>
    <row r="3" spans="1:12" x14ac:dyDescent="0.15">
      <c r="B3" s="64" t="s">
        <v>130</v>
      </c>
      <c r="C3" s="64"/>
      <c r="D3" s="64"/>
      <c r="E3" s="64"/>
      <c r="F3" s="64"/>
      <c r="G3" s="64"/>
      <c r="H3" s="64"/>
      <c r="I3" s="64"/>
      <c r="J3" s="64"/>
    </row>
    <row r="4" spans="1:12" ht="16" x14ac:dyDescent="0.2">
      <c r="A4" s="2" t="s">
        <v>7</v>
      </c>
    </row>
    <row r="5" spans="1:12" s="5" customFormat="1" ht="14.25" customHeight="1" x14ac:dyDescent="0.15">
      <c r="A5" s="4"/>
      <c r="B5" s="64" t="s">
        <v>67</v>
      </c>
      <c r="C5" s="64"/>
      <c r="D5" s="64"/>
      <c r="E5" s="64"/>
      <c r="F5" s="64"/>
      <c r="G5" s="64"/>
      <c r="H5" s="64"/>
    </row>
    <row r="6" spans="1:12" s="5" customFormat="1" ht="21.75" customHeight="1" x14ac:dyDescent="0.15">
      <c r="A6" s="4"/>
      <c r="B6" s="64" t="s">
        <v>68</v>
      </c>
      <c r="C6" s="64"/>
      <c r="D6" s="64"/>
      <c r="E6" s="64"/>
      <c r="F6" s="64"/>
      <c r="G6" s="64"/>
      <c r="H6" s="64"/>
      <c r="I6" s="64"/>
      <c r="J6" s="64"/>
      <c r="K6" s="64"/>
      <c r="L6" s="64"/>
    </row>
    <row r="7" spans="1:12" s="5" customFormat="1" ht="54" customHeight="1" x14ac:dyDescent="0.15">
      <c r="A7" s="4"/>
      <c r="B7" s="62" t="s">
        <v>69</v>
      </c>
      <c r="C7" s="63"/>
      <c r="D7" s="63"/>
      <c r="E7" s="63"/>
      <c r="F7" s="63"/>
      <c r="G7" s="63"/>
      <c r="H7" s="63"/>
      <c r="I7" s="63"/>
      <c r="J7" s="63"/>
    </row>
    <row r="8" spans="1:12" s="5" customFormat="1" ht="14.25" customHeight="1" x14ac:dyDescent="0.15">
      <c r="A8" s="4"/>
      <c r="B8" s="64" t="s">
        <v>70</v>
      </c>
      <c r="C8" s="68"/>
      <c r="D8" s="68"/>
      <c r="E8" s="68"/>
      <c r="F8" s="68"/>
      <c r="G8" s="68"/>
      <c r="H8" s="68"/>
      <c r="I8" s="68"/>
      <c r="J8" s="68"/>
    </row>
    <row r="9" spans="1:12" s="5" customFormat="1" ht="18.75" customHeight="1" x14ac:dyDescent="0.15">
      <c r="A9" s="4"/>
      <c r="B9" s="64" t="s">
        <v>18</v>
      </c>
      <c r="C9" s="68"/>
      <c r="D9" s="68"/>
      <c r="E9" s="68"/>
      <c r="F9" s="68"/>
      <c r="G9" s="68"/>
      <c r="H9" s="68"/>
      <c r="I9" s="68"/>
      <c r="J9" s="68"/>
    </row>
    <row r="10" spans="1:12" s="5" customFormat="1" ht="24.75" customHeight="1" x14ac:dyDescent="0.2">
      <c r="A10" s="2" t="s">
        <v>57</v>
      </c>
      <c r="B10" s="18"/>
      <c r="C10" s="20"/>
      <c r="D10" s="20"/>
      <c r="E10" s="20"/>
      <c r="F10" s="20"/>
      <c r="G10" s="20"/>
      <c r="H10" s="20"/>
      <c r="I10" s="20"/>
      <c r="J10" s="20"/>
    </row>
    <row r="11" spans="1:12" s="5" customFormat="1" ht="24.75" customHeight="1" x14ac:dyDescent="0.15">
      <c r="A11" s="4" t="s">
        <v>100</v>
      </c>
      <c r="B11" s="26" t="s">
        <v>73</v>
      </c>
      <c r="C11" s="21"/>
      <c r="D11" s="21"/>
      <c r="E11" s="21"/>
      <c r="F11" s="21"/>
      <c r="G11" s="21"/>
      <c r="H11" s="21"/>
      <c r="I11" s="21"/>
      <c r="J11" s="21"/>
    </row>
    <row r="12" spans="1:12" s="5" customFormat="1" ht="15.75" customHeight="1" x14ac:dyDescent="0.15">
      <c r="A12" s="4"/>
      <c r="B12" s="64" t="s">
        <v>141</v>
      </c>
      <c r="C12" s="64"/>
      <c r="D12" s="64"/>
      <c r="E12" s="64"/>
      <c r="F12" s="64"/>
      <c r="G12" s="64"/>
      <c r="H12" s="64"/>
      <c r="I12" s="64"/>
      <c r="J12" s="21"/>
    </row>
    <row r="13" spans="1:12" s="5" customFormat="1" ht="24.75" customHeight="1" x14ac:dyDescent="0.15">
      <c r="A13" s="4" t="s">
        <v>75</v>
      </c>
      <c r="B13" s="26" t="s">
        <v>105</v>
      </c>
      <c r="C13" s="21"/>
      <c r="D13" s="21"/>
      <c r="E13" s="21"/>
      <c r="F13" s="21"/>
      <c r="G13" s="21"/>
      <c r="H13" s="21"/>
      <c r="I13" s="21"/>
      <c r="J13" s="21"/>
    </row>
    <row r="14" spans="1:12" s="5" customFormat="1" ht="14.25" customHeight="1" x14ac:dyDescent="0.15">
      <c r="A14" s="4"/>
      <c r="B14" s="64" t="s">
        <v>104</v>
      </c>
      <c r="C14" s="64"/>
      <c r="D14" s="64"/>
      <c r="E14" s="64"/>
      <c r="F14" s="64"/>
      <c r="G14" s="64"/>
      <c r="H14" s="64"/>
      <c r="I14" s="21"/>
      <c r="J14" s="21"/>
    </row>
    <row r="15" spans="1:12" ht="16" x14ac:dyDescent="0.2">
      <c r="A15" s="2" t="s">
        <v>27</v>
      </c>
      <c r="B15" s="20"/>
      <c r="C15" s="19"/>
      <c r="D15" s="22" t="s">
        <v>47</v>
      </c>
      <c r="E15" s="19"/>
      <c r="F15" s="19"/>
      <c r="G15" s="23" t="s">
        <v>66</v>
      </c>
      <c r="H15" s="19"/>
      <c r="I15" s="19"/>
      <c r="J15" s="19"/>
    </row>
    <row r="16" spans="1:12" x14ac:dyDescent="0.15">
      <c r="B16" s="6" t="s">
        <v>44</v>
      </c>
      <c r="E16" s="7" t="s">
        <v>48</v>
      </c>
      <c r="G16" s="25"/>
      <c r="H16" s="24" t="s">
        <v>115</v>
      </c>
    </row>
    <row r="17" spans="2:8" x14ac:dyDescent="0.15">
      <c r="B17" s="6" t="s">
        <v>28</v>
      </c>
      <c r="E17" s="7" t="s">
        <v>49</v>
      </c>
      <c r="G17" s="25"/>
      <c r="H17" s="24" t="s">
        <v>116</v>
      </c>
    </row>
    <row r="18" spans="2:8" x14ac:dyDescent="0.15">
      <c r="B18" s="6" t="s">
        <v>22</v>
      </c>
      <c r="E18" s="7" t="s">
        <v>50</v>
      </c>
      <c r="G18" s="25"/>
      <c r="H18" s="24" t="s">
        <v>117</v>
      </c>
    </row>
    <row r="19" spans="2:8" x14ac:dyDescent="0.15">
      <c r="B19" s="6" t="s">
        <v>29</v>
      </c>
      <c r="E19" s="7" t="s">
        <v>51</v>
      </c>
      <c r="G19" s="25"/>
      <c r="H19" s="24" t="s">
        <v>118</v>
      </c>
    </row>
    <row r="20" spans="2:8" x14ac:dyDescent="0.15">
      <c r="B20" s="6" t="s">
        <v>30</v>
      </c>
      <c r="E20" s="7" t="s">
        <v>52</v>
      </c>
      <c r="H20" s="7" t="s">
        <v>119</v>
      </c>
    </row>
    <row r="21" spans="2:8" x14ac:dyDescent="0.15">
      <c r="B21" s="6" t="s">
        <v>74</v>
      </c>
      <c r="E21" s="7" t="s">
        <v>53</v>
      </c>
      <c r="G21"/>
      <c r="H21" s="7" t="s">
        <v>120</v>
      </c>
    </row>
    <row r="22" spans="2:8" x14ac:dyDescent="0.15">
      <c r="B22" s="6" t="s">
        <v>31</v>
      </c>
      <c r="E22" s="7" t="s">
        <v>54</v>
      </c>
    </row>
    <row r="23" spans="2:8" x14ac:dyDescent="0.15">
      <c r="B23" s="6" t="s">
        <v>32</v>
      </c>
      <c r="E23" s="7" t="s">
        <v>55</v>
      </c>
      <c r="G23"/>
      <c r="H23"/>
    </row>
    <row r="24" spans="2:8" x14ac:dyDescent="0.15">
      <c r="B24" s="6" t="s">
        <v>97</v>
      </c>
      <c r="E24" s="7" t="s">
        <v>56</v>
      </c>
      <c r="G24"/>
      <c r="H24"/>
    </row>
    <row r="25" spans="2:8" x14ac:dyDescent="0.15">
      <c r="B25" s="6" t="s">
        <v>98</v>
      </c>
      <c r="E25" s="7" t="s">
        <v>64</v>
      </c>
      <c r="G25"/>
      <c r="H25"/>
    </row>
    <row r="26" spans="2:8" x14ac:dyDescent="0.15">
      <c r="B26" s="6" t="s">
        <v>99</v>
      </c>
      <c r="E26" s="7" t="s">
        <v>71</v>
      </c>
      <c r="G26"/>
      <c r="H26"/>
    </row>
    <row r="27" spans="2:8" x14ac:dyDescent="0.15">
      <c r="B27" s="6" t="s">
        <v>23</v>
      </c>
      <c r="E27" s="7" t="s">
        <v>78</v>
      </c>
      <c r="G27"/>
    </row>
    <row r="28" spans="2:8" x14ac:dyDescent="0.15">
      <c r="B28" s="6" t="s">
        <v>33</v>
      </c>
      <c r="E28" s="7" t="s">
        <v>103</v>
      </c>
    </row>
    <row r="29" spans="2:8" x14ac:dyDescent="0.15">
      <c r="B29" s="6" t="s">
        <v>34</v>
      </c>
      <c r="E29" s="7" t="s">
        <v>106</v>
      </c>
      <c r="H29"/>
    </row>
    <row r="30" spans="2:8" x14ac:dyDescent="0.15">
      <c r="B30" s="6" t="s">
        <v>35</v>
      </c>
      <c r="E30" s="7" t="s">
        <v>107</v>
      </c>
      <c r="G30"/>
    </row>
    <row r="31" spans="2:8" x14ac:dyDescent="0.15">
      <c r="B31" s="6" t="s">
        <v>36</v>
      </c>
      <c r="E31" s="7" t="s">
        <v>76</v>
      </c>
    </row>
    <row r="32" spans="2:8" x14ac:dyDescent="0.15">
      <c r="B32" s="6" t="s">
        <v>37</v>
      </c>
      <c r="E32" s="7" t="s">
        <v>77</v>
      </c>
    </row>
    <row r="33" spans="1:5" x14ac:dyDescent="0.15">
      <c r="B33" s="6" t="s">
        <v>125</v>
      </c>
      <c r="E33" s="7" t="s">
        <v>129</v>
      </c>
    </row>
    <row r="34" spans="1:5" x14ac:dyDescent="0.15">
      <c r="B34" s="6" t="s">
        <v>24</v>
      </c>
      <c r="E34" s="7" t="s">
        <v>83</v>
      </c>
    </row>
    <row r="35" spans="1:5" x14ac:dyDescent="0.15">
      <c r="B35" s="6" t="s">
        <v>38</v>
      </c>
      <c r="E35" s="7" t="s">
        <v>84</v>
      </c>
    </row>
    <row r="36" spans="1:5" x14ac:dyDescent="0.15">
      <c r="B36" s="6" t="s">
        <v>39</v>
      </c>
      <c r="E36" s="7" t="s">
        <v>85</v>
      </c>
    </row>
    <row r="37" spans="1:5" ht="12.75" customHeight="1" x14ac:dyDescent="0.15">
      <c r="A37" s="46"/>
      <c r="B37" s="6" t="s">
        <v>25</v>
      </c>
      <c r="E37" s="7" t="s">
        <v>86</v>
      </c>
    </row>
    <row r="38" spans="1:5" x14ac:dyDescent="0.15">
      <c r="A38" s="46"/>
      <c r="B38" s="6" t="s">
        <v>46</v>
      </c>
      <c r="E38" s="7" t="s">
        <v>87</v>
      </c>
    </row>
    <row r="39" spans="1:5" x14ac:dyDescent="0.15">
      <c r="A39" s="46"/>
      <c r="B39" s="6" t="s">
        <v>101</v>
      </c>
      <c r="E39" s="7" t="s">
        <v>88</v>
      </c>
    </row>
    <row r="40" spans="1:5" x14ac:dyDescent="0.15">
      <c r="A40" s="46"/>
      <c r="B40" s="6" t="s">
        <v>65</v>
      </c>
      <c r="E40" s="7" t="s">
        <v>89</v>
      </c>
    </row>
    <row r="41" spans="1:5" x14ac:dyDescent="0.15">
      <c r="A41" s="46"/>
      <c r="B41" s="6" t="s">
        <v>72</v>
      </c>
      <c r="E41" s="7" t="s">
        <v>90</v>
      </c>
    </row>
    <row r="42" spans="1:5" x14ac:dyDescent="0.15">
      <c r="B42" s="6" t="s">
        <v>102</v>
      </c>
      <c r="E42" s="7" t="s">
        <v>91</v>
      </c>
    </row>
    <row r="43" spans="1:5" x14ac:dyDescent="0.15">
      <c r="B43" s="6" t="s">
        <v>40</v>
      </c>
      <c r="E43" s="7" t="s">
        <v>92</v>
      </c>
    </row>
    <row r="44" spans="1:5" x14ac:dyDescent="0.15">
      <c r="B44" s="6" t="s">
        <v>26</v>
      </c>
      <c r="E44" s="7" t="s">
        <v>93</v>
      </c>
    </row>
    <row r="45" spans="1:5" x14ac:dyDescent="0.15">
      <c r="B45" s="6" t="s">
        <v>41</v>
      </c>
      <c r="E45" s="7" t="s">
        <v>94</v>
      </c>
    </row>
    <row r="46" spans="1:5" x14ac:dyDescent="0.15">
      <c r="B46" s="6" t="s">
        <v>142</v>
      </c>
    </row>
    <row r="47" spans="1:5" x14ac:dyDescent="0.15">
      <c r="B47" s="6" t="s">
        <v>122</v>
      </c>
    </row>
    <row r="48" spans="1:5" x14ac:dyDescent="0.15">
      <c r="B48" s="6" t="s">
        <v>113</v>
      </c>
    </row>
    <row r="49" spans="1:11" x14ac:dyDescent="0.15">
      <c r="B49" s="6" t="s">
        <v>42</v>
      </c>
    </row>
    <row r="50" spans="1:11" x14ac:dyDescent="0.15">
      <c r="B50" s="6" t="s">
        <v>45</v>
      </c>
    </row>
    <row r="51" spans="1:11" x14ac:dyDescent="0.15">
      <c r="B51" s="6" t="s">
        <v>123</v>
      </c>
    </row>
    <row r="52" spans="1:11" x14ac:dyDescent="0.15">
      <c r="B52" s="6" t="s">
        <v>127</v>
      </c>
    </row>
    <row r="53" spans="1:11" x14ac:dyDescent="0.15">
      <c r="B53" s="6" t="s">
        <v>124</v>
      </c>
    </row>
    <row r="54" spans="1:11" x14ac:dyDescent="0.15">
      <c r="B54" s="6" t="s">
        <v>138</v>
      </c>
    </row>
    <row r="55" spans="1:11" x14ac:dyDescent="0.15">
      <c r="B55" s="6" t="s">
        <v>139</v>
      </c>
    </row>
    <row r="56" spans="1:11" ht="16" x14ac:dyDescent="0.2">
      <c r="A56" s="2" t="s">
        <v>79</v>
      </c>
    </row>
    <row r="57" spans="1:11" ht="12.5" customHeight="1" x14ac:dyDescent="0.15">
      <c r="A57" s="32" t="s">
        <v>80</v>
      </c>
      <c r="B57" s="33" t="s">
        <v>81</v>
      </c>
      <c r="C57" s="65" t="s">
        <v>82</v>
      </c>
      <c r="D57" s="66"/>
      <c r="E57" s="66"/>
      <c r="F57" s="66"/>
      <c r="G57" s="66"/>
      <c r="H57" s="66"/>
      <c r="I57" s="66"/>
      <c r="J57" s="66"/>
      <c r="K57" s="67"/>
    </row>
    <row r="58" spans="1:11" ht="12.5" customHeight="1" x14ac:dyDescent="0.15">
      <c r="A58" s="45" t="s">
        <v>145</v>
      </c>
      <c r="B58" s="48" t="s">
        <v>131</v>
      </c>
      <c r="C58" s="58" t="s">
        <v>146</v>
      </c>
      <c r="D58" s="59"/>
      <c r="E58" s="59"/>
      <c r="F58" s="59"/>
      <c r="G58" s="59"/>
      <c r="H58" s="59"/>
      <c r="I58" s="59"/>
      <c r="J58" s="59"/>
      <c r="K58" s="60"/>
    </row>
    <row r="59" spans="1:11" ht="12.5" customHeight="1" x14ac:dyDescent="0.15">
      <c r="A59" s="45" t="s">
        <v>143</v>
      </c>
      <c r="B59" s="48">
        <v>45324</v>
      </c>
      <c r="C59" s="69" t="s">
        <v>144</v>
      </c>
      <c r="D59" s="70"/>
      <c r="E59" s="70"/>
      <c r="F59" s="70"/>
      <c r="G59" s="70"/>
      <c r="H59" s="70"/>
      <c r="I59" s="70"/>
      <c r="J59" s="70"/>
      <c r="K59" s="71"/>
    </row>
    <row r="60" spans="1:11" ht="27" customHeight="1" x14ac:dyDescent="0.15">
      <c r="A60" s="45" t="s">
        <v>137</v>
      </c>
      <c r="B60" s="57">
        <v>45322</v>
      </c>
      <c r="C60" s="58" t="s">
        <v>140</v>
      </c>
      <c r="D60" s="59"/>
      <c r="E60" s="59"/>
      <c r="F60" s="59"/>
      <c r="G60" s="59"/>
      <c r="H60" s="59"/>
      <c r="I60" s="59"/>
      <c r="J60" s="59"/>
      <c r="K60" s="60"/>
    </row>
    <row r="61" spans="1:11" ht="27" customHeight="1" x14ac:dyDescent="0.15">
      <c r="A61" s="45" t="s">
        <v>135</v>
      </c>
      <c r="B61" s="48">
        <v>45237</v>
      </c>
      <c r="C61" s="58" t="s">
        <v>136</v>
      </c>
      <c r="D61" s="59"/>
      <c r="E61" s="59"/>
      <c r="F61" s="59"/>
      <c r="G61" s="59"/>
      <c r="H61" s="59"/>
      <c r="I61" s="59"/>
      <c r="J61" s="59"/>
      <c r="K61" s="60"/>
    </row>
    <row r="62" spans="1:11" ht="12.5" customHeight="1" x14ac:dyDescent="0.15">
      <c r="A62" s="45" t="s">
        <v>134</v>
      </c>
      <c r="B62" s="48">
        <v>45230</v>
      </c>
      <c r="C62" s="58" t="s">
        <v>133</v>
      </c>
      <c r="D62" s="59"/>
      <c r="E62" s="59"/>
      <c r="F62" s="59"/>
      <c r="G62" s="59"/>
      <c r="H62" s="59"/>
      <c r="I62" s="59"/>
      <c r="J62" s="59"/>
      <c r="K62" s="60"/>
    </row>
    <row r="63" spans="1:11" ht="12.5" customHeight="1" x14ac:dyDescent="0.15">
      <c r="A63" s="45" t="s">
        <v>128</v>
      </c>
      <c r="B63" s="47">
        <v>45229</v>
      </c>
      <c r="C63" s="54" t="s">
        <v>132</v>
      </c>
      <c r="D63" s="49"/>
      <c r="E63" s="49"/>
      <c r="F63" s="49"/>
      <c r="G63" s="49"/>
      <c r="H63" s="49"/>
      <c r="I63" s="49"/>
      <c r="J63" s="49"/>
      <c r="K63" s="50"/>
    </row>
    <row r="64" spans="1:11" ht="24" customHeight="1" x14ac:dyDescent="0.15">
      <c r="A64" s="51" t="s">
        <v>121</v>
      </c>
      <c r="B64" s="47">
        <v>44816</v>
      </c>
      <c r="C64" s="58" t="s">
        <v>126</v>
      </c>
      <c r="D64" s="59"/>
      <c r="E64" s="59"/>
      <c r="F64" s="59"/>
      <c r="G64" s="59"/>
      <c r="H64" s="59"/>
      <c r="I64" s="59"/>
      <c r="J64" s="59"/>
      <c r="K64" s="60"/>
    </row>
    <row r="65" spans="1:11" x14ac:dyDescent="0.15">
      <c r="A65" s="45" t="s">
        <v>112</v>
      </c>
      <c r="B65" s="48">
        <v>44795</v>
      </c>
      <c r="C65" s="54" t="s">
        <v>114</v>
      </c>
      <c r="D65" s="55"/>
      <c r="E65" s="55"/>
      <c r="F65" s="55"/>
      <c r="G65" s="55"/>
      <c r="H65" s="55"/>
      <c r="I65" s="55"/>
      <c r="J65" s="55"/>
      <c r="K65" s="56"/>
    </row>
    <row r="66" spans="1:11" ht="9.75" customHeight="1" x14ac:dyDescent="0.15">
      <c r="A66" s="45" t="s">
        <v>110</v>
      </c>
      <c r="B66" s="47">
        <v>44616</v>
      </c>
      <c r="C66" s="54" t="s">
        <v>111</v>
      </c>
      <c r="D66" s="55"/>
      <c r="E66" s="55"/>
      <c r="F66" s="55"/>
      <c r="G66" s="55"/>
      <c r="H66" s="55"/>
      <c r="I66" s="55"/>
      <c r="J66" s="55"/>
      <c r="K66" s="56"/>
    </row>
    <row r="67" spans="1:11" ht="12.75" customHeight="1" x14ac:dyDescent="0.15">
      <c r="A67" s="45" t="s">
        <v>108</v>
      </c>
      <c r="B67" s="48">
        <v>44602</v>
      </c>
      <c r="C67" s="54" t="s">
        <v>109</v>
      </c>
      <c r="D67" s="52"/>
      <c r="E67" s="52"/>
      <c r="F67" s="52"/>
      <c r="G67" s="52"/>
      <c r="H67" s="52"/>
      <c r="I67" s="52"/>
      <c r="J67" s="52"/>
      <c r="K67" s="53"/>
    </row>
  </sheetData>
  <customSheetViews>
    <customSheetView guid="{56C9F3FB-E1BF-4A84-A9C1-883C4971E148}">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howPageBreaks="1" printArea="1" view="pageLayout">
      <selection activeCell="J10" sqref="B9:J10"/>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howPageBreaks="1" printArea="1">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6">
    <mergeCell ref="C64:K64"/>
    <mergeCell ref="A1:K1"/>
    <mergeCell ref="B7:J7"/>
    <mergeCell ref="B14:H14"/>
    <mergeCell ref="B12:I12"/>
    <mergeCell ref="B3:J3"/>
    <mergeCell ref="B5:H5"/>
    <mergeCell ref="B6:L6"/>
    <mergeCell ref="C62:K62"/>
    <mergeCell ref="C57:K57"/>
    <mergeCell ref="B9:J9"/>
    <mergeCell ref="B8:J8"/>
    <mergeCell ref="C61:K61"/>
    <mergeCell ref="C60:K60"/>
    <mergeCell ref="C59:K59"/>
    <mergeCell ref="C58:K58"/>
  </mergeCells>
  <phoneticPr fontId="8" type="noConversion"/>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7"/>
  <sheetViews>
    <sheetView tabSelected="1" zoomScale="85" zoomScaleNormal="85" zoomScaleSheetLayoutView="85" zoomScalePageLayoutView="85" workbookViewId="0">
      <selection activeCell="D12" sqref="D12"/>
    </sheetView>
  </sheetViews>
  <sheetFormatPr baseColWidth="10" defaultColWidth="9.1640625" defaultRowHeight="13" x14ac:dyDescent="0.15"/>
  <cols>
    <col min="1" max="1" width="1.83203125" style="12" customWidth="1"/>
    <col min="2" max="2" width="12.5" style="12" customWidth="1"/>
    <col min="3" max="5" width="12.5" style="10" customWidth="1"/>
    <col min="6" max="6" width="19.83203125" style="11" customWidth="1"/>
    <col min="7" max="7" width="2.5" style="11" customWidth="1"/>
    <col min="8" max="8" width="23.5" style="11" customWidth="1"/>
    <col min="9" max="12" width="17.5" style="11" customWidth="1"/>
    <col min="13" max="13" width="38.5" style="11" customWidth="1"/>
    <col min="14" max="16" width="9.5" style="11" customWidth="1"/>
    <col min="17" max="16384" width="9.1640625" style="12"/>
  </cols>
  <sheetData>
    <row r="1" spans="1:16"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c r="N1" s="8"/>
    </row>
    <row r="2" spans="1:16" s="9" customFormat="1" ht="13.75" customHeight="1" thickBot="1" x14ac:dyDescent="0.2">
      <c r="A2" s="1"/>
      <c r="B2" s="92"/>
      <c r="C2" s="103"/>
      <c r="D2" s="92"/>
      <c r="E2" s="93"/>
      <c r="F2" s="120"/>
      <c r="G2" s="43"/>
      <c r="H2" s="99"/>
      <c r="I2" s="114"/>
      <c r="J2" s="114"/>
      <c r="K2" s="114"/>
      <c r="L2" s="131"/>
      <c r="M2" s="126"/>
    </row>
    <row r="3" spans="1:16" s="9" customFormat="1" ht="14" thickBot="1" x14ac:dyDescent="0.2">
      <c r="A3" s="1"/>
      <c r="B3" s="104"/>
      <c r="C3" s="105"/>
      <c r="D3" s="94"/>
      <c r="E3" s="95"/>
      <c r="F3" s="121"/>
      <c r="G3" s="43"/>
      <c r="H3" s="133"/>
      <c r="I3" s="85"/>
      <c r="J3" s="85"/>
      <c r="K3" s="88" t="str">
        <f>IF(J3&lt;&gt;"",I3-J3,"")</f>
        <v/>
      </c>
      <c r="L3" s="86" t="str">
        <f>IF(J3="","",IF($F$10="","",IF(K3&lt;=$F$10,"PASS","FAIL")))</f>
        <v/>
      </c>
      <c r="M3" s="72" t="str">
        <f>IF(L3="PASS","NA","")</f>
        <v/>
      </c>
    </row>
    <row r="4" spans="1:16" s="9" customFormat="1" ht="14" thickBot="1" x14ac:dyDescent="0.2">
      <c r="A4" s="1"/>
      <c r="B4" s="36"/>
      <c r="C4" s="37"/>
      <c r="D4" s="38"/>
      <c r="E4" s="38"/>
      <c r="F4" s="29"/>
      <c r="G4" s="29"/>
      <c r="H4" s="75"/>
      <c r="I4" s="77"/>
      <c r="J4" s="77"/>
      <c r="K4" s="89"/>
      <c r="L4" s="87"/>
      <c r="M4" s="73"/>
    </row>
    <row r="5" spans="1:16" s="9" customFormat="1" ht="14" thickBot="1" x14ac:dyDescent="0.2">
      <c r="A5" s="1"/>
      <c r="B5" s="100" t="s">
        <v>17</v>
      </c>
      <c r="C5" s="108"/>
      <c r="D5" s="122" t="s">
        <v>11</v>
      </c>
      <c r="E5" s="123"/>
      <c r="F5" s="123"/>
      <c r="G5" s="44"/>
      <c r="H5" s="74"/>
      <c r="I5" s="76"/>
      <c r="J5" s="76"/>
      <c r="K5" s="78" t="str">
        <f t="shared" ref="K5" si="0">IF(J5&lt;&gt;"",I5-J5,"")</f>
        <v/>
      </c>
      <c r="L5" s="80" t="str">
        <f t="shared" ref="L5" si="1">IF(J5="","",IF($F$10="","",IF(K5&lt;=$F$10,"PASS","FAIL")))</f>
        <v/>
      </c>
      <c r="M5" s="72" t="str">
        <f>IF(L5="PASS","NA","")</f>
        <v/>
      </c>
    </row>
    <row r="6" spans="1:16" s="9" customFormat="1" ht="14" thickBot="1" x14ac:dyDescent="0.2">
      <c r="A6" s="1"/>
      <c r="B6" s="124"/>
      <c r="C6" s="103"/>
      <c r="D6" s="122"/>
      <c r="E6" s="123"/>
      <c r="F6" s="123"/>
      <c r="G6" s="44"/>
      <c r="H6" s="75"/>
      <c r="I6" s="77"/>
      <c r="J6" s="77"/>
      <c r="K6" s="79"/>
      <c r="L6" s="81"/>
      <c r="M6" s="73"/>
    </row>
    <row r="7" spans="1:16" s="9" customFormat="1" ht="14" thickBot="1" x14ac:dyDescent="0.2">
      <c r="A7" s="1"/>
      <c r="B7" s="104"/>
      <c r="C7" s="105"/>
      <c r="D7" s="122"/>
      <c r="E7" s="123"/>
      <c r="F7" s="123"/>
      <c r="G7" s="29"/>
      <c r="H7" s="74"/>
      <c r="I7" s="76"/>
      <c r="J7" s="76"/>
      <c r="K7" s="78" t="str">
        <f t="shared" ref="K7" si="2">IF(J7&lt;&gt;"",I7-J7,"")</f>
        <v/>
      </c>
      <c r="L7" s="80" t="str">
        <f t="shared" ref="L7" si="3">IF(J7="","",IF($F$10="","",IF(K7&lt;=$F$10,"PASS","FAIL")))</f>
        <v/>
      </c>
      <c r="M7" s="72" t="str">
        <f>IF(L7="PASS","NA","")</f>
        <v/>
      </c>
    </row>
    <row r="8" spans="1:16" s="9" customFormat="1" ht="14" thickBot="1" x14ac:dyDescent="0.2">
      <c r="A8" s="1"/>
      <c r="B8"/>
      <c r="C8"/>
      <c r="D8" s="38"/>
      <c r="E8" s="38"/>
      <c r="F8" s="29"/>
      <c r="G8" s="29"/>
      <c r="H8" s="75"/>
      <c r="I8" s="77"/>
      <c r="J8" s="77"/>
      <c r="K8" s="79"/>
      <c r="L8" s="81"/>
      <c r="M8" s="73"/>
    </row>
    <row r="9" spans="1:16" s="9" customFormat="1" ht="13.75" customHeight="1" thickBot="1" x14ac:dyDescent="0.2">
      <c r="A9" s="1"/>
      <c r="B9" s="100" t="s">
        <v>43</v>
      </c>
      <c r="C9" s="108"/>
      <c r="D9" s="100" t="s">
        <v>20</v>
      </c>
      <c r="E9" s="108"/>
      <c r="F9" s="39" t="s">
        <v>21</v>
      </c>
      <c r="G9" s="29"/>
      <c r="H9" s="74"/>
      <c r="I9" s="76"/>
      <c r="J9" s="76"/>
      <c r="K9" s="78" t="str">
        <f t="shared" ref="K9" si="4">IF(J9&lt;&gt;"",I9-J9,"")</f>
        <v/>
      </c>
      <c r="L9" s="80" t="str">
        <f t="shared" ref="L9" si="5">IF(J9="","",IF($F$10="","",IF(K9&lt;=$F$10,"PASS","FAIL")))</f>
        <v/>
      </c>
      <c r="M9" s="72" t="str">
        <f>IF(L9="PASS","NA","")</f>
        <v/>
      </c>
    </row>
    <row r="10" spans="1:16" s="9" customFormat="1" ht="14" thickBot="1" x14ac:dyDescent="0.2">
      <c r="A10" s="1"/>
      <c r="B10" s="92"/>
      <c r="C10" s="103"/>
      <c r="D10" s="92"/>
      <c r="E10" s="103"/>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75"/>
      <c r="I10" s="77"/>
      <c r="J10" s="77"/>
      <c r="K10" s="79"/>
      <c r="L10" s="81"/>
      <c r="M10" s="73"/>
    </row>
    <row r="11" spans="1:16" s="9" customFormat="1" ht="14" thickBot="1" x14ac:dyDescent="0.2">
      <c r="A11" s="1"/>
      <c r="B11" s="104"/>
      <c r="C11" s="105"/>
      <c r="D11" s="104"/>
      <c r="E11" s="105"/>
      <c r="F11" s="128"/>
      <c r="G11" s="29"/>
      <c r="H11" s="74"/>
      <c r="I11" s="76"/>
      <c r="J11" s="76"/>
      <c r="K11" s="78" t="str">
        <f t="shared" ref="K11" si="6">IF(J11&lt;&gt;"",I11-J11,"")</f>
        <v/>
      </c>
      <c r="L11" s="80" t="str">
        <f t="shared" ref="L11" si="7">IF(J11="","",IF($F$10="","",IF(K11&lt;=$F$10,"PASS","FAIL")))</f>
        <v/>
      </c>
      <c r="M11" s="72" t="str">
        <f>IF(L11="PASS","NA","")</f>
        <v/>
      </c>
    </row>
    <row r="12" spans="1:16" s="13" customFormat="1" ht="14" thickBot="1" x14ac:dyDescent="0.2">
      <c r="A12" s="23"/>
      <c r="B12" s="1"/>
      <c r="C12" s="1"/>
      <c r="D12" s="20"/>
      <c r="E12" s="20"/>
      <c r="F12" s="38"/>
      <c r="G12" s="29"/>
      <c r="H12" s="75"/>
      <c r="I12" s="77"/>
      <c r="J12" s="77"/>
      <c r="K12" s="79"/>
      <c r="L12" s="81"/>
      <c r="M12" s="73"/>
    </row>
    <row r="13" spans="1:16" ht="14" thickBot="1" x14ac:dyDescent="0.2">
      <c r="A13"/>
      <c r="B13" s="100" t="s">
        <v>14</v>
      </c>
      <c r="C13" s="108"/>
      <c r="D13" s="100" t="s">
        <v>15</v>
      </c>
      <c r="E13" s="108"/>
      <c r="F13" s="23"/>
      <c r="G13" s="29"/>
      <c r="H13" s="74"/>
      <c r="I13" s="76"/>
      <c r="J13" s="76"/>
      <c r="K13" s="78" t="str">
        <f t="shared" ref="K13" si="8">IF(J13&lt;&gt;"",I13-J13,"")</f>
        <v/>
      </c>
      <c r="L13" s="80" t="str">
        <f t="shared" ref="L13" si="9">IF(J13="","",IF($F$10="","",IF(K13&lt;=$F$10,"PASS","FAIL")))</f>
        <v/>
      </c>
      <c r="M13" s="72" t="str">
        <f>IF(L13="PASS","NA","")</f>
        <v/>
      </c>
      <c r="N13" s="12"/>
      <c r="O13" s="12"/>
      <c r="P13" s="12"/>
    </row>
    <row r="14" spans="1:16" ht="14" thickBot="1" x14ac:dyDescent="0.2">
      <c r="A14"/>
      <c r="B14" s="92"/>
      <c r="C14" s="103"/>
      <c r="D14" s="92"/>
      <c r="E14" s="103"/>
      <c r="F14" s="29"/>
      <c r="G14" s="29"/>
      <c r="H14" s="75"/>
      <c r="I14" s="77"/>
      <c r="J14" s="77"/>
      <c r="K14" s="79"/>
      <c r="L14" s="81"/>
      <c r="M14" s="73"/>
      <c r="N14" s="12"/>
      <c r="O14" s="12"/>
      <c r="P14" s="12"/>
    </row>
    <row r="15" spans="1:16" ht="14" thickBot="1" x14ac:dyDescent="0.2">
      <c r="A15"/>
      <c r="B15" s="104"/>
      <c r="C15" s="105"/>
      <c r="D15" s="104"/>
      <c r="E15" s="105"/>
      <c r="F15" s="29"/>
      <c r="G15" s="29"/>
      <c r="H15" s="74"/>
      <c r="I15" s="76"/>
      <c r="J15" s="76"/>
      <c r="K15" s="78" t="str">
        <f t="shared" ref="K15" si="10">IF(J15&lt;&gt;"",I15-J15,"")</f>
        <v/>
      </c>
      <c r="L15" s="80" t="str">
        <f t="shared" ref="L15" si="11">IF(J15="","",IF($F$10="","",IF(K15&lt;=$F$10,"PASS","FAIL")))</f>
        <v/>
      </c>
      <c r="M15" s="72" t="str">
        <f>IF(L15="PASS","NA","")</f>
        <v/>
      </c>
      <c r="N15" s="12"/>
      <c r="O15" s="12"/>
      <c r="P15" s="12"/>
    </row>
    <row r="16" spans="1:16" ht="14" thickBot="1" x14ac:dyDescent="0.2">
      <c r="A16"/>
      <c r="B16" s="115"/>
      <c r="C16" s="116"/>
      <c r="D16" s="115"/>
      <c r="E16" s="116"/>
      <c r="F16" s="29"/>
      <c r="G16" s="29"/>
      <c r="H16" s="75"/>
      <c r="I16" s="77"/>
      <c r="J16" s="77"/>
      <c r="K16" s="79"/>
      <c r="L16" s="81"/>
      <c r="M16" s="73"/>
      <c r="N16" s="12"/>
      <c r="O16" s="12"/>
      <c r="P16" s="12"/>
    </row>
    <row r="17" spans="1:16" ht="13.75" customHeight="1" x14ac:dyDescent="0.15">
      <c r="A17"/>
      <c r="B17" s="117"/>
      <c r="C17" s="117"/>
      <c r="D17" s="117"/>
      <c r="E17" s="117"/>
      <c r="F17" s="29"/>
      <c r="G17" s="29"/>
      <c r="H17" s="74"/>
      <c r="I17" s="76"/>
      <c r="J17" s="76"/>
      <c r="K17" s="78" t="str">
        <f t="shared" ref="K17" si="12">IF(J17&lt;&gt;"",I17-J17,"")</f>
        <v/>
      </c>
      <c r="L17" s="80" t="str">
        <f t="shared" ref="L17" si="13">IF(J17="","",IF($F$10="","",IF(K17&lt;=$F$10,"PASS","FAIL")))</f>
        <v/>
      </c>
      <c r="M17" s="72" t="str">
        <f>IF(L17="PASS","NA","")</f>
        <v/>
      </c>
      <c r="N17" s="12"/>
      <c r="O17" s="12"/>
      <c r="P17" s="12"/>
    </row>
    <row r="18" spans="1:16" ht="14" thickBot="1" x14ac:dyDescent="0.2">
      <c r="A18"/>
      <c r="B18" s="40"/>
      <c r="C18" s="41"/>
      <c r="D18" s="40"/>
      <c r="E18" s="41"/>
      <c r="F18" s="29"/>
      <c r="G18" s="29"/>
      <c r="H18" s="75"/>
      <c r="I18" s="77"/>
      <c r="J18" s="77"/>
      <c r="K18" s="79"/>
      <c r="L18" s="81"/>
      <c r="M18" s="73"/>
      <c r="N18" s="12"/>
      <c r="O18" s="12"/>
      <c r="P18" s="12"/>
    </row>
    <row r="19" spans="1:16" ht="14" thickBot="1" x14ac:dyDescent="0.2">
      <c r="A19"/>
      <c r="B19" s="100" t="s">
        <v>12</v>
      </c>
      <c r="C19" s="101"/>
      <c r="D19" s="100" t="s">
        <v>13</v>
      </c>
      <c r="E19" s="101"/>
      <c r="F19" s="29"/>
      <c r="G19" s="29"/>
      <c r="H19" s="74"/>
      <c r="I19" s="76"/>
      <c r="J19" s="76"/>
      <c r="K19" s="78" t="str">
        <f t="shared" ref="K19" si="14">IF(J19&lt;&gt;"",I19-J19,"")</f>
        <v/>
      </c>
      <c r="L19" s="80" t="str">
        <f t="shared" ref="L19" si="15">IF(J19="","",IF($F$10="","",IF(K19&lt;=$F$10,"PASS","FAIL")))</f>
        <v/>
      </c>
      <c r="M19" s="72" t="str">
        <f>IF(L19="PASS","NA","")</f>
        <v/>
      </c>
      <c r="N19" s="12"/>
      <c r="O19" s="12"/>
      <c r="P19" s="12"/>
    </row>
    <row r="20" spans="1:16" ht="14" thickBot="1" x14ac:dyDescent="0.2">
      <c r="A20"/>
      <c r="B20" s="92"/>
      <c r="C20" s="103"/>
      <c r="D20" s="92"/>
      <c r="E20" s="93"/>
      <c r="F20" s="38"/>
      <c r="G20" s="38"/>
      <c r="H20" s="75"/>
      <c r="I20" s="77"/>
      <c r="J20" s="77"/>
      <c r="K20" s="79"/>
      <c r="L20" s="81"/>
      <c r="M20" s="73"/>
      <c r="N20" s="12"/>
      <c r="O20" s="12"/>
      <c r="P20" s="12"/>
    </row>
    <row r="21" spans="1:16" ht="14" thickBot="1" x14ac:dyDescent="0.2">
      <c r="A21"/>
      <c r="B21" s="104"/>
      <c r="C21" s="105"/>
      <c r="D21" s="94"/>
      <c r="E21" s="95"/>
      <c r="F21" s="29"/>
      <c r="G21" s="29"/>
      <c r="H21" s="74"/>
      <c r="I21" s="76"/>
      <c r="J21" s="76"/>
      <c r="K21" s="78" t="str">
        <f t="shared" ref="K21" si="16">IF(J21&lt;&gt;"",I21-J21,"")</f>
        <v/>
      </c>
      <c r="L21" s="80" t="str">
        <f t="shared" ref="L21" si="17">IF(J21="","",IF($F$10="","",IF(K21&lt;=$F$10,"PASS","FAIL")))</f>
        <v/>
      </c>
      <c r="M21" s="72" t="str">
        <f>IF(L21="PASS","NA","")</f>
        <v/>
      </c>
      <c r="N21" s="12"/>
      <c r="O21" s="12"/>
      <c r="P21" s="12"/>
    </row>
    <row r="22" spans="1:16" ht="14" thickBot="1" x14ac:dyDescent="0.2">
      <c r="A22"/>
      <c r="B22" s="115"/>
      <c r="C22" s="116"/>
      <c r="D22" s="115"/>
      <c r="E22" s="115"/>
      <c r="F22" s="29"/>
      <c r="G22" s="29"/>
      <c r="H22" s="75"/>
      <c r="I22" s="77"/>
      <c r="J22" s="77"/>
      <c r="K22" s="79"/>
      <c r="L22" s="81"/>
      <c r="M22" s="73"/>
      <c r="N22" s="12"/>
      <c r="O22" s="12"/>
      <c r="P22" s="12"/>
    </row>
    <row r="23" spans="1:16" ht="14" thickBot="1" x14ac:dyDescent="0.2">
      <c r="A23"/>
      <c r="B23" s="117"/>
      <c r="C23" s="117"/>
      <c r="D23" s="129"/>
      <c r="E23" s="129"/>
      <c r="F23" s="29"/>
      <c r="G23" s="29"/>
      <c r="H23" s="74"/>
      <c r="I23" s="76"/>
      <c r="J23" s="76"/>
      <c r="K23" s="78" t="str">
        <f t="shared" ref="K23" si="18">IF(J23&lt;&gt;"",I23-J23,"")</f>
        <v/>
      </c>
      <c r="L23" s="80" t="str">
        <f t="shared" ref="L23" si="19">IF(J23="","",IF($F$10="","",IF(K23&lt;=$F$10,"PASS","FAIL")))</f>
        <v/>
      </c>
      <c r="M23" s="72" t="str">
        <f>IF(L23="PASS","NA","")</f>
        <v/>
      </c>
      <c r="N23" s="12"/>
      <c r="O23" s="12"/>
      <c r="P23" s="12"/>
    </row>
    <row r="24" spans="1:16" ht="14" thickBot="1" x14ac:dyDescent="0.2">
      <c r="A24"/>
      <c r="B24" s="100" t="s">
        <v>95</v>
      </c>
      <c r="C24" s="108"/>
      <c r="D24" s="100" t="s">
        <v>96</v>
      </c>
      <c r="E24" s="108"/>
      <c r="F24" s="29"/>
      <c r="G24" s="29"/>
      <c r="H24" s="75"/>
      <c r="I24" s="77"/>
      <c r="J24" s="77"/>
      <c r="K24" s="79"/>
      <c r="L24" s="81"/>
      <c r="M24" s="73"/>
      <c r="N24" s="12"/>
      <c r="O24" s="12"/>
      <c r="P24" s="12"/>
    </row>
    <row r="25" spans="1:16" ht="13.75" customHeight="1" x14ac:dyDescent="0.15">
      <c r="A25"/>
      <c r="B25" s="92"/>
      <c r="C25" s="103"/>
      <c r="D25" s="92"/>
      <c r="E25" s="103"/>
      <c r="F25" s="29"/>
      <c r="G25" s="29"/>
      <c r="H25" s="74"/>
      <c r="I25" s="76"/>
      <c r="J25" s="76"/>
      <c r="K25" s="78" t="str">
        <f t="shared" ref="K25" si="20">IF(J25&lt;&gt;"",I25-J25,"")</f>
        <v/>
      </c>
      <c r="L25" s="80" t="str">
        <f t="shared" ref="L25" si="21">IF(J25="","",IF($F$10="","",IF(K25&lt;=$F$10,"PASS","FAIL")))</f>
        <v/>
      </c>
      <c r="M25" s="72" t="str">
        <f>IF(L25="PASS","NA","")</f>
        <v/>
      </c>
      <c r="N25" s="12"/>
      <c r="O25" s="12"/>
    </row>
    <row r="26" spans="1:16" ht="14" thickBot="1" x14ac:dyDescent="0.2">
      <c r="A26"/>
      <c r="B26" s="104"/>
      <c r="C26" s="105"/>
      <c r="D26" s="104"/>
      <c r="E26" s="105"/>
      <c r="F26" s="29"/>
      <c r="G26" s="29"/>
      <c r="H26" s="75"/>
      <c r="I26" s="77"/>
      <c r="J26" s="77"/>
      <c r="K26" s="79"/>
      <c r="L26" s="81"/>
      <c r="M26" s="73"/>
      <c r="N26" s="12"/>
      <c r="O26" s="12"/>
      <c r="P26" s="12"/>
    </row>
    <row r="27" spans="1:16" ht="13.75" customHeight="1" x14ac:dyDescent="0.15">
      <c r="A27"/>
      <c r="B27" s="115"/>
      <c r="C27" s="116"/>
      <c r="D27" s="115"/>
      <c r="E27" s="116"/>
      <c r="F27"/>
      <c r="G27"/>
      <c r="H27" s="74"/>
      <c r="I27" s="76"/>
      <c r="J27" s="76"/>
      <c r="K27" s="78" t="str">
        <f t="shared" ref="K27" si="22">IF(J27&lt;&gt;"",I27-J27,"")</f>
        <v/>
      </c>
      <c r="L27" s="80" t="str">
        <f t="shared" ref="L27" si="23">IF(J27="","",IF($F$10="","",IF(K27&lt;=$F$10,"PASS","FAIL")))</f>
        <v/>
      </c>
      <c r="M27" s="72" t="str">
        <f>IF(L27="PASS","NA","")</f>
        <v/>
      </c>
      <c r="N27" s="12"/>
      <c r="O27" s="12"/>
      <c r="P27" s="12"/>
    </row>
    <row r="28" spans="1:16" ht="14" thickBot="1" x14ac:dyDescent="0.2">
      <c r="A28"/>
      <c r="B28" s="117"/>
      <c r="C28" s="117"/>
      <c r="D28" s="117"/>
      <c r="E28" s="117"/>
      <c r="F28"/>
      <c r="G28"/>
      <c r="H28" s="75"/>
      <c r="I28" s="77"/>
      <c r="J28" s="77"/>
      <c r="K28" s="79"/>
      <c r="L28" s="81"/>
      <c r="M28" s="73"/>
      <c r="N28" s="12"/>
      <c r="O28" s="12"/>
      <c r="P28" s="12"/>
    </row>
    <row r="29" spans="1:16" ht="13.75" customHeight="1" x14ac:dyDescent="0.15">
      <c r="A29"/>
      <c r="B29" s="42" t="s">
        <v>9</v>
      </c>
      <c r="C29" s="41"/>
      <c r="D29" s="40"/>
      <c r="E29" s="41"/>
      <c r="F29"/>
      <c r="G29"/>
      <c r="H29" s="74"/>
      <c r="I29" s="76"/>
      <c r="J29" s="76"/>
      <c r="K29" s="78" t="str">
        <f t="shared" ref="K29" si="24">IF(J29&lt;&gt;"",I29-J29,"")</f>
        <v/>
      </c>
      <c r="L29" s="80" t="str">
        <f t="shared" ref="L29" si="25">IF(J29="","",IF($F$10="","",IF(K29&lt;=$F$10,"PASS","FAIL")))</f>
        <v/>
      </c>
      <c r="M29" s="72" t="str">
        <f>IF(L29="PASS","NA","")</f>
        <v/>
      </c>
      <c r="N29" s="12"/>
      <c r="O29" s="12"/>
      <c r="P29" s="12"/>
    </row>
    <row r="30" spans="1:16" ht="14" thickBot="1" x14ac:dyDescent="0.2">
      <c r="A30"/>
      <c r="B30" s="22"/>
      <c r="C30" s="22"/>
      <c r="D30" s="22"/>
      <c r="E30" s="22"/>
      <c r="F30"/>
      <c r="G30"/>
      <c r="H30" s="75"/>
      <c r="I30" s="77"/>
      <c r="J30" s="77"/>
      <c r="K30" s="79"/>
      <c r="L30" s="81"/>
      <c r="M30" s="73"/>
      <c r="N30" s="12"/>
      <c r="O30" s="12"/>
      <c r="P30" s="12"/>
    </row>
    <row r="31" spans="1:16" ht="13.75" customHeight="1" x14ac:dyDescent="0.15">
      <c r="A31"/>
      <c r="B31" s="22"/>
      <c r="C31" s="19"/>
      <c r="D31" s="22"/>
      <c r="E31" s="22"/>
      <c r="F31"/>
      <c r="G31"/>
      <c r="H31" s="74"/>
      <c r="I31" s="76"/>
      <c r="J31" s="76"/>
      <c r="K31" s="78" t="str">
        <f t="shared" ref="K31" si="26">IF(J31&lt;&gt;"",I31-J31,"")</f>
        <v/>
      </c>
      <c r="L31" s="80" t="str">
        <f t="shared" ref="L31" si="27">IF(J31="","",IF($F$10="","",IF(K31&lt;=$F$10,"PASS","FAIL")))</f>
        <v/>
      </c>
      <c r="M31" s="72" t="str">
        <f>IF(L31="PASS","NA","")</f>
        <v/>
      </c>
      <c r="N31" s="12"/>
      <c r="O31" s="12"/>
      <c r="P31" s="12"/>
    </row>
    <row r="32" spans="1:16" ht="14" thickBot="1" x14ac:dyDescent="0.2">
      <c r="A32"/>
      <c r="B32" s="19"/>
      <c r="C32" s="19"/>
      <c r="D32" s="22"/>
      <c r="E32" s="22"/>
      <c r="F32"/>
      <c r="G32"/>
      <c r="H32" s="75"/>
      <c r="I32" s="77"/>
      <c r="J32" s="77"/>
      <c r="K32" s="79"/>
      <c r="L32" s="81"/>
      <c r="M32" s="73"/>
      <c r="N32" s="12"/>
      <c r="O32" s="12"/>
      <c r="P32" s="12"/>
    </row>
    <row r="33" spans="1:16" ht="13.75" customHeight="1" x14ac:dyDescent="0.15">
      <c r="A33"/>
      <c r="B33"/>
      <c r="C33" s="38"/>
      <c r="D33" s="38"/>
      <c r="E33" s="38"/>
      <c r="F33"/>
      <c r="G33"/>
      <c r="H33" s="74"/>
      <c r="I33" s="76"/>
      <c r="J33" s="76"/>
      <c r="K33" s="78" t="str">
        <f t="shared" ref="K33" si="28">IF(J33&lt;&gt;"",I33-J33,"")</f>
        <v/>
      </c>
      <c r="L33" s="80" t="str">
        <f t="shared" ref="L33" si="29">IF(J33="","",IF($F$10="","",IF(K33&lt;=$F$10,"PASS","FAIL")))</f>
        <v/>
      </c>
      <c r="M33" s="72" t="str">
        <f>IF(L33="PASS","NA","")</f>
        <v/>
      </c>
      <c r="N33" s="12"/>
      <c r="O33" s="12"/>
      <c r="P33" s="12"/>
    </row>
    <row r="34" spans="1:16" ht="14" thickBot="1" x14ac:dyDescent="0.2">
      <c r="A34"/>
      <c r="B34"/>
      <c r="C34" s="38"/>
      <c r="D34" s="38"/>
      <c r="E34" s="38"/>
      <c r="F34"/>
      <c r="G34"/>
      <c r="H34" s="75"/>
      <c r="I34" s="77"/>
      <c r="J34" s="77"/>
      <c r="K34" s="79"/>
      <c r="L34" s="81"/>
      <c r="M34" s="73"/>
      <c r="N34" s="12"/>
      <c r="O34" s="12"/>
      <c r="P34" s="12"/>
    </row>
    <row r="35" spans="1:16" ht="13.75" customHeight="1" x14ac:dyDescent="0.15">
      <c r="A35"/>
      <c r="B35" s="42"/>
      <c r="C35" s="38"/>
      <c r="D35" s="38"/>
      <c r="E35" s="38"/>
      <c r="F35"/>
      <c r="G35"/>
      <c r="H35" s="74"/>
      <c r="I35" s="76"/>
      <c r="J35" s="76"/>
      <c r="K35" s="78" t="str">
        <f t="shared" ref="K35" si="30">IF(J35&lt;&gt;"",I35-J35,"")</f>
        <v/>
      </c>
      <c r="L35" s="80" t="str">
        <f t="shared" ref="L35" si="31">IF(J35="","",IF($F$10="","",IF(K35&lt;=$F$10,"PASS","FAIL")))</f>
        <v/>
      </c>
      <c r="M35" s="72" t="str">
        <f>IF(L35="PASS","NA","")</f>
        <v/>
      </c>
      <c r="N35" s="12"/>
      <c r="O35" s="12"/>
      <c r="P35" s="12"/>
    </row>
    <row r="36" spans="1:16" ht="14" thickBot="1" x14ac:dyDescent="0.2">
      <c r="A36"/>
      <c r="B36"/>
      <c r="C36" s="38"/>
      <c r="D36" s="38"/>
      <c r="E36" s="38"/>
      <c r="F36"/>
      <c r="G36"/>
      <c r="H36" s="75"/>
      <c r="I36" s="77"/>
      <c r="J36" s="77"/>
      <c r="K36" s="79"/>
      <c r="L36" s="81"/>
      <c r="M36" s="73"/>
      <c r="N36" s="12"/>
      <c r="O36" s="12"/>
      <c r="P36" s="12"/>
    </row>
    <row r="37" spans="1:16" ht="13.75" customHeight="1" x14ac:dyDescent="0.15">
      <c r="A37"/>
      <c r="B37"/>
      <c r="C37" s="38"/>
      <c r="D37" s="38"/>
      <c r="E37" s="38"/>
      <c r="F37"/>
      <c r="G37"/>
      <c r="H37" s="74"/>
      <c r="I37" s="76"/>
      <c r="J37" s="76"/>
      <c r="K37" s="78" t="str">
        <f t="shared" ref="K37" si="32">IF(J37&lt;&gt;"",I37-J37,"")</f>
        <v/>
      </c>
      <c r="L37" s="80" t="str">
        <f t="shared" ref="L37" si="33">IF(J37="","",IF($F$10="","",IF(K37&lt;=$F$10,"PASS","FAIL")))</f>
        <v/>
      </c>
      <c r="M37" s="72" t="str">
        <f>IF(L37="PASS","NA","")</f>
        <v/>
      </c>
      <c r="N37" s="12"/>
      <c r="O37" s="12"/>
      <c r="P37" s="12"/>
    </row>
    <row r="38" spans="1:16" ht="14" thickBot="1" x14ac:dyDescent="0.2">
      <c r="A38"/>
      <c r="B38"/>
      <c r="C38" s="38"/>
      <c r="D38" s="38"/>
      <c r="E38" s="38"/>
      <c r="F38"/>
      <c r="G38"/>
      <c r="H38" s="75"/>
      <c r="I38" s="77"/>
      <c r="J38" s="77"/>
      <c r="K38" s="79"/>
      <c r="L38" s="81"/>
      <c r="M38" s="73"/>
      <c r="N38" s="12"/>
      <c r="O38" s="12"/>
      <c r="P38" s="12"/>
    </row>
    <row r="39" spans="1:16" ht="13.75" customHeight="1" x14ac:dyDescent="0.15">
      <c r="A39"/>
      <c r="B39"/>
      <c r="C39" s="38"/>
      <c r="D39" s="38"/>
      <c r="E39" s="38"/>
      <c r="F39"/>
      <c r="G39"/>
      <c r="H39" s="74"/>
      <c r="I39" s="76"/>
      <c r="J39" s="76"/>
      <c r="K39" s="78" t="str">
        <f t="shared" ref="K39" si="34">IF(J39&lt;&gt;"",I39-J39,"")</f>
        <v/>
      </c>
      <c r="L39" s="80" t="str">
        <f t="shared" ref="L39" si="35">IF(J39="","",IF($F$10="","",IF(K39&lt;=$F$10,"PASS","FAIL")))</f>
        <v/>
      </c>
      <c r="M39" s="72" t="str">
        <f>IF(L39="PASS","NA","")</f>
        <v/>
      </c>
      <c r="N39" s="12"/>
      <c r="O39" s="12"/>
      <c r="P39" s="12"/>
    </row>
    <row r="40" spans="1:16" ht="14" thickBot="1" x14ac:dyDescent="0.2">
      <c r="A40"/>
      <c r="B40"/>
      <c r="C40" s="38"/>
      <c r="D40" s="38"/>
      <c r="E40" s="38"/>
      <c r="F40"/>
      <c r="G40"/>
      <c r="H40" s="75"/>
      <c r="I40" s="77"/>
      <c r="J40" s="77"/>
      <c r="K40" s="79"/>
      <c r="L40" s="81"/>
      <c r="M40" s="73"/>
      <c r="N40" s="12"/>
      <c r="O40" s="12"/>
      <c r="P40" s="12"/>
    </row>
    <row r="41" spans="1:16" ht="14" thickBot="1" x14ac:dyDescent="0.2">
      <c r="A41"/>
      <c r="B41"/>
      <c r="C41" s="38"/>
      <c r="D41" s="38"/>
      <c r="E41" s="38"/>
      <c r="F41"/>
      <c r="G41"/>
      <c r="H41" s="74"/>
      <c r="I41" s="76"/>
      <c r="J41" s="76"/>
      <c r="K41" s="78" t="str">
        <f t="shared" ref="K41" si="36">IF(J41&lt;&gt;"",I41-J41,"")</f>
        <v/>
      </c>
      <c r="L41" s="80" t="str">
        <f t="shared" ref="L41" si="37">IF(J41="","",IF($F$10="","",IF(K41&lt;=$F$10,"PASS","FAIL")))</f>
        <v/>
      </c>
      <c r="M41" s="72" t="str">
        <f>IF(L41="PASS","NA","")</f>
        <v/>
      </c>
      <c r="N41" s="12"/>
      <c r="O41" s="12"/>
      <c r="P41" s="12"/>
    </row>
    <row r="42" spans="1:16" ht="14" thickBot="1" x14ac:dyDescent="0.2">
      <c r="A42"/>
      <c r="B42" s="100" t="s">
        <v>10</v>
      </c>
      <c r="C42" s="102"/>
      <c r="D42" s="102"/>
      <c r="E42" s="101"/>
      <c r="F42" s="29"/>
      <c r="G42" s="29"/>
      <c r="H42" s="75"/>
      <c r="I42" s="77"/>
      <c r="J42" s="77"/>
      <c r="K42" s="79"/>
      <c r="L42" s="81"/>
      <c r="M42" s="73"/>
      <c r="N42" s="12"/>
      <c r="O42" s="12"/>
      <c r="P42" s="12"/>
    </row>
    <row r="43" spans="1:16" ht="13.75" customHeight="1" x14ac:dyDescent="0.15">
      <c r="A43"/>
      <c r="B43" s="92"/>
      <c r="C43" s="118"/>
      <c r="D43" s="118"/>
      <c r="E43" s="93"/>
      <c r="F43" s="29"/>
      <c r="G43" s="29"/>
      <c r="H43" s="84"/>
      <c r="I43" s="85"/>
      <c r="J43" s="85"/>
      <c r="K43" s="78" t="str">
        <f t="shared" ref="K43" si="38">IF(J43&lt;&gt;"",I43-J43,"")</f>
        <v/>
      </c>
      <c r="L43" s="80" t="str">
        <f t="shared" ref="L43" si="39">IF(J43="","",IF($F$10="","",IF(K43&lt;=$F$10,"PASS","FAIL")))</f>
        <v/>
      </c>
      <c r="M43" s="72" t="str">
        <f>IF(L43="PASS","NA","")</f>
        <v/>
      </c>
      <c r="N43" s="12"/>
      <c r="O43" s="12"/>
      <c r="P43" s="12"/>
    </row>
    <row r="44" spans="1:16" ht="13.75" customHeight="1" thickBot="1" x14ac:dyDescent="0.2">
      <c r="A44"/>
      <c r="B44" s="94"/>
      <c r="C44" s="119"/>
      <c r="D44" s="119"/>
      <c r="E44" s="95"/>
      <c r="F44" s="29"/>
      <c r="G44" s="29"/>
      <c r="H44" s="83"/>
      <c r="I44" s="77"/>
      <c r="J44" s="77"/>
      <c r="K44" s="79"/>
      <c r="L44" s="81"/>
      <c r="M44" s="73"/>
      <c r="N44" s="12"/>
      <c r="O44" s="12"/>
      <c r="P44" s="12"/>
    </row>
    <row r="45" spans="1:16" ht="13.7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6" ht="13.75" customHeight="1" thickBot="1" x14ac:dyDescent="0.2">
      <c r="A46"/>
      <c r="B46" s="100" t="s">
        <v>2</v>
      </c>
      <c r="C46" s="101"/>
      <c r="D46" s="100" t="s">
        <v>0</v>
      </c>
      <c r="E46" s="101"/>
      <c r="F46" s="29"/>
      <c r="G46" s="29"/>
      <c r="H46" s="83"/>
      <c r="I46" s="77"/>
      <c r="J46" s="77"/>
      <c r="K46" s="79"/>
      <c r="L46" s="81"/>
      <c r="M46" s="73"/>
    </row>
    <row r="47" spans="1:16" ht="15" customHeight="1" x14ac:dyDescent="0.15">
      <c r="A47"/>
      <c r="B47" s="92"/>
      <c r="C47" s="93"/>
      <c r="D47" s="92"/>
      <c r="E47" s="93"/>
      <c r="F47" s="29"/>
      <c r="G47" s="29"/>
      <c r="H47" s="10"/>
      <c r="I47" s="27"/>
      <c r="J47" s="27"/>
      <c r="K47" s="28"/>
      <c r="L47" s="29"/>
      <c r="M47" s="10"/>
    </row>
    <row r="48" spans="1:16" ht="15" customHeight="1" thickBot="1" x14ac:dyDescent="0.2">
      <c r="A48"/>
      <c r="B48" s="94"/>
      <c r="C48" s="95"/>
      <c r="D48" s="94"/>
      <c r="E48" s="95"/>
      <c r="F48" s="29"/>
      <c r="G48" s="29"/>
      <c r="H48" s="10"/>
      <c r="I48" s="27"/>
      <c r="J48" s="27"/>
      <c r="K48" s="28"/>
      <c r="L48" s="29"/>
      <c r="M48" s="10"/>
    </row>
    <row r="49" spans="1:16" ht="12.25" customHeight="1" thickBot="1" x14ac:dyDescent="0.2">
      <c r="A49"/>
      <c r="B49"/>
      <c r="C49" s="38"/>
      <c r="D49" s="38"/>
      <c r="E49" s="38"/>
      <c r="F49" s="29"/>
      <c r="G49" s="29"/>
      <c r="H49" s="10"/>
      <c r="I49" s="27"/>
      <c r="J49" s="27"/>
      <c r="K49" s="28" t="str">
        <f t="shared" ref="K49" si="42">IF(J49&lt;&gt;"",I49-J49,"")</f>
        <v/>
      </c>
      <c r="L49" s="29" t="str">
        <f t="shared" ref="L49" si="43">IF(J49="","",IF($F$10="","",IF(K49&lt;=$F$10,"PASS","FAIL")))</f>
        <v/>
      </c>
      <c r="M49" s="10"/>
    </row>
    <row r="50" spans="1:16" ht="15" customHeight="1" thickBot="1" x14ac:dyDescent="0.2">
      <c r="B50" s="132" t="s">
        <v>63</v>
      </c>
      <c r="C50" s="106"/>
      <c r="D50" s="106"/>
      <c r="E50" s="106"/>
      <c r="F50" s="106"/>
      <c r="G50" s="16"/>
      <c r="H50" s="106"/>
      <c r="I50" s="106"/>
      <c r="J50" s="107"/>
      <c r="K50" s="106" t="s">
        <v>58</v>
      </c>
      <c r="L50" s="106"/>
      <c r="M50" s="107"/>
    </row>
    <row r="51" spans="1:16" ht="15.75" customHeight="1" thickBot="1" x14ac:dyDescent="0.2">
      <c r="B51" s="134"/>
      <c r="C51" s="135"/>
      <c r="D51" s="135"/>
      <c r="E51" s="135"/>
      <c r="F51" s="135"/>
      <c r="G51" s="135"/>
      <c r="H51" s="135"/>
      <c r="I51" s="135"/>
      <c r="J51" s="136"/>
      <c r="K51" s="96" t="s">
        <v>60</v>
      </c>
      <c r="L51" s="97"/>
      <c r="M51" s="17" t="s">
        <v>59</v>
      </c>
    </row>
    <row r="52" spans="1:16" ht="15.75" customHeight="1" x14ac:dyDescent="0.15">
      <c r="B52" s="137"/>
      <c r="C52" s="138"/>
      <c r="D52" s="138"/>
      <c r="E52" s="138"/>
      <c r="F52" s="138"/>
      <c r="G52" s="138"/>
      <c r="H52" s="138"/>
      <c r="I52" s="138"/>
      <c r="J52" s="139"/>
      <c r="K52" s="109"/>
      <c r="L52" s="110"/>
      <c r="M52" s="143"/>
      <c r="P52" s="12"/>
    </row>
    <row r="53" spans="1:16" ht="15.75" customHeight="1" x14ac:dyDescent="0.15">
      <c r="B53" s="137"/>
      <c r="C53" s="138"/>
      <c r="D53" s="138"/>
      <c r="E53" s="138"/>
      <c r="F53" s="138"/>
      <c r="G53" s="138"/>
      <c r="H53" s="138"/>
      <c r="I53" s="138"/>
      <c r="J53" s="139"/>
      <c r="K53" s="111"/>
      <c r="L53" s="112"/>
      <c r="M53" s="144"/>
      <c r="P53" s="12"/>
    </row>
    <row r="54" spans="1:16" ht="15.75" customHeight="1" x14ac:dyDescent="0.15">
      <c r="B54" s="137"/>
      <c r="C54" s="138"/>
      <c r="D54" s="138"/>
      <c r="E54" s="138"/>
      <c r="F54" s="138"/>
      <c r="G54" s="138"/>
      <c r="H54" s="138"/>
      <c r="I54" s="138"/>
      <c r="J54" s="139"/>
      <c r="K54" s="111"/>
      <c r="L54" s="112"/>
      <c r="M54" s="144"/>
      <c r="P54" s="12"/>
    </row>
    <row r="55" spans="1:16" ht="20.5" customHeight="1" x14ac:dyDescent="0.15">
      <c r="B55" s="137"/>
      <c r="C55" s="138"/>
      <c r="D55" s="138"/>
      <c r="E55" s="138"/>
      <c r="F55" s="138"/>
      <c r="G55" s="138"/>
      <c r="H55" s="138"/>
      <c r="I55" s="138"/>
      <c r="J55" s="139"/>
      <c r="K55" s="111"/>
      <c r="L55" s="112"/>
      <c r="M55" s="144"/>
      <c r="P55" s="12"/>
    </row>
    <row r="56" spans="1:16" ht="13.75" customHeight="1" thickBot="1" x14ac:dyDescent="0.2">
      <c r="B56" s="140"/>
      <c r="C56" s="141"/>
      <c r="D56" s="141"/>
      <c r="E56" s="141"/>
      <c r="F56" s="141"/>
      <c r="G56" s="141"/>
      <c r="H56" s="141"/>
      <c r="I56" s="141"/>
      <c r="J56" s="142"/>
      <c r="K56" s="90"/>
      <c r="L56" s="91"/>
      <c r="M56" s="30"/>
      <c r="P56" s="12"/>
    </row>
    <row r="64" spans="1:16" x14ac:dyDescent="0.15">
      <c r="C64" s="12"/>
      <c r="D64" s="12"/>
      <c r="E64" s="12"/>
      <c r="F64" s="12"/>
      <c r="G64" s="12"/>
    </row>
    <row r="65" spans="3:13" x14ac:dyDescent="0.15">
      <c r="C65" s="12"/>
      <c r="D65" s="12"/>
      <c r="E65" s="12"/>
      <c r="F65" s="12"/>
      <c r="G65" s="12"/>
    </row>
    <row r="66" spans="3:13" x14ac:dyDescent="0.15">
      <c r="C66" s="12"/>
      <c r="D66" s="12"/>
      <c r="E66" s="12"/>
      <c r="F66" s="12"/>
      <c r="G66" s="12"/>
    </row>
    <row r="67" spans="3:13" x14ac:dyDescent="0.15">
      <c r="C67" s="12"/>
      <c r="D67" s="12"/>
      <c r="E67" s="12"/>
      <c r="F67" s="12"/>
      <c r="G67" s="12"/>
      <c r="H67" s="14"/>
      <c r="I67" s="14"/>
      <c r="J67" s="14"/>
      <c r="K67" s="14"/>
      <c r="L67" s="14"/>
    </row>
    <row r="68" spans="3:13" x14ac:dyDescent="0.15">
      <c r="C68" s="12"/>
      <c r="D68" s="12"/>
      <c r="E68" s="12"/>
      <c r="F68" s="12"/>
      <c r="G68" s="12"/>
      <c r="H68" s="15"/>
      <c r="I68" s="14"/>
      <c r="J68" s="14"/>
      <c r="K68" s="14"/>
      <c r="L68" s="14"/>
    </row>
    <row r="69" spans="3:13" x14ac:dyDescent="0.15">
      <c r="C69" s="12"/>
      <c r="D69" s="12"/>
      <c r="E69" s="12"/>
      <c r="F69" s="12"/>
      <c r="G69" s="12"/>
      <c r="H69" s="14"/>
      <c r="I69" s="14"/>
      <c r="J69" s="14"/>
      <c r="K69" s="14"/>
      <c r="L69" s="14"/>
      <c r="M69" s="12"/>
    </row>
    <row r="70" spans="3:13" x14ac:dyDescent="0.15">
      <c r="C70" s="12"/>
      <c r="D70" s="12"/>
      <c r="E70" s="12"/>
      <c r="F70" s="12"/>
      <c r="G70" s="12"/>
      <c r="H70" s="12"/>
      <c r="I70" s="12"/>
      <c r="J70" s="12"/>
      <c r="K70" s="12"/>
      <c r="L70" s="12"/>
      <c r="M70" s="12"/>
    </row>
    <row r="71" spans="3:13" x14ac:dyDescent="0.15">
      <c r="C71" s="12"/>
      <c r="D71" s="12"/>
      <c r="E71" s="12"/>
      <c r="F71" s="12"/>
      <c r="G71" s="12"/>
      <c r="H71" s="12"/>
      <c r="I71" s="12"/>
      <c r="J71" s="12"/>
      <c r="K71" s="12"/>
      <c r="L71" s="12"/>
      <c r="M71" s="12"/>
    </row>
    <row r="72" spans="3:13" x14ac:dyDescent="0.15">
      <c r="C72" s="12"/>
      <c r="D72" s="12"/>
      <c r="E72" s="12"/>
      <c r="F72" s="12"/>
      <c r="G72" s="12"/>
      <c r="H72" s="12"/>
      <c r="I72" s="12"/>
      <c r="J72" s="12"/>
      <c r="K72" s="12"/>
      <c r="L72" s="12"/>
      <c r="M72" s="12"/>
    </row>
    <row r="73" spans="3:13" x14ac:dyDescent="0.15">
      <c r="C73" s="12"/>
      <c r="D73" s="12"/>
      <c r="E73" s="12"/>
      <c r="F73" s="12"/>
      <c r="G73" s="12"/>
      <c r="H73" s="12"/>
      <c r="I73" s="12"/>
      <c r="J73" s="12"/>
      <c r="K73" s="12"/>
      <c r="L73" s="12"/>
      <c r="M73" s="12"/>
    </row>
    <row r="74" spans="3:13" x14ac:dyDescent="0.15">
      <c r="C74" s="12"/>
      <c r="D74" s="12"/>
      <c r="E74" s="12"/>
      <c r="F74" s="12"/>
      <c r="G74" s="12"/>
      <c r="H74" s="12"/>
      <c r="I74" s="12"/>
      <c r="J74" s="12"/>
      <c r="K74" s="12"/>
      <c r="L74" s="12"/>
      <c r="M74" s="12"/>
    </row>
    <row r="75" spans="3:13" x14ac:dyDescent="0.15">
      <c r="C75" s="12"/>
      <c r="D75" s="12"/>
      <c r="E75" s="12"/>
      <c r="F75" s="12"/>
      <c r="G75" s="12"/>
      <c r="H75" s="12"/>
      <c r="I75" s="12"/>
      <c r="J75" s="12"/>
      <c r="K75" s="12"/>
      <c r="L75" s="12"/>
      <c r="M75" s="12"/>
    </row>
    <row r="76" spans="3:13" ht="44.5" customHeight="1" x14ac:dyDescent="0.15">
      <c r="C76" s="12"/>
      <c r="D76" s="12"/>
      <c r="E76" s="12"/>
      <c r="F76" s="12"/>
      <c r="G76" s="12"/>
      <c r="H76" s="12"/>
      <c r="I76" s="12"/>
      <c r="J76" s="12"/>
      <c r="K76" s="12"/>
      <c r="L76" s="12"/>
      <c r="M76" s="12"/>
    </row>
    <row r="77" spans="3:13" x14ac:dyDescent="0.15">
      <c r="C77" s="12"/>
      <c r="D77" s="12"/>
      <c r="E77" s="12"/>
      <c r="F77" s="12"/>
      <c r="G77" s="12"/>
      <c r="H77" s="12"/>
      <c r="I77" s="12"/>
      <c r="J77" s="12"/>
      <c r="K77" s="12"/>
      <c r="L77" s="12"/>
      <c r="M77" s="12"/>
    </row>
    <row r="78" spans="3:13" x14ac:dyDescent="0.15">
      <c r="C78" s="12"/>
      <c r="D78" s="12"/>
      <c r="E78" s="12"/>
      <c r="F78" s="12"/>
      <c r="G78" s="12"/>
      <c r="H78" s="12"/>
      <c r="I78" s="12"/>
      <c r="J78" s="12"/>
      <c r="K78" s="12"/>
      <c r="L78" s="12"/>
      <c r="M78" s="12"/>
    </row>
    <row r="79" spans="3:13" x14ac:dyDescent="0.15">
      <c r="C79" s="12"/>
      <c r="D79" s="12"/>
      <c r="E79" s="12"/>
      <c r="F79" s="12"/>
      <c r="G79" s="12"/>
      <c r="H79" s="12"/>
      <c r="I79" s="12"/>
      <c r="J79" s="12"/>
      <c r="K79" s="12"/>
      <c r="L79" s="12"/>
      <c r="M79" s="12"/>
    </row>
    <row r="80" spans="3:13" x14ac:dyDescent="0.15">
      <c r="C80" s="12"/>
      <c r="D80" s="12"/>
      <c r="E80" s="12"/>
      <c r="F80" s="12"/>
      <c r="G80" s="12"/>
      <c r="H80" s="12"/>
      <c r="I80" s="12"/>
      <c r="J80" s="12"/>
      <c r="K80" s="12"/>
      <c r="L80" s="12"/>
      <c r="M80" s="12"/>
    </row>
    <row r="81" spans="3:13" x14ac:dyDescent="0.15">
      <c r="C81" s="12"/>
      <c r="D81" s="12"/>
      <c r="E81" s="12"/>
      <c r="F81" s="12"/>
      <c r="G81" s="12"/>
      <c r="H81" s="12"/>
      <c r="I81" s="12"/>
      <c r="J81" s="12"/>
      <c r="K81" s="12"/>
      <c r="L81" s="12"/>
      <c r="M81" s="12"/>
    </row>
    <row r="82" spans="3:13" x14ac:dyDescent="0.15">
      <c r="C82" s="12"/>
      <c r="D82" s="12"/>
      <c r="E82" s="12"/>
      <c r="F82" s="12"/>
      <c r="G82" s="12"/>
      <c r="H82" s="12"/>
      <c r="I82" s="12"/>
      <c r="J82" s="12"/>
      <c r="K82" s="12"/>
      <c r="L82" s="12"/>
      <c r="M82" s="12"/>
    </row>
    <row r="83" spans="3:13" x14ac:dyDescent="0.15">
      <c r="C83" s="12"/>
      <c r="D83" s="12"/>
      <c r="E83" s="12"/>
      <c r="F83" s="12"/>
      <c r="G83" s="12"/>
      <c r="H83" s="12"/>
      <c r="I83" s="12"/>
      <c r="J83" s="12"/>
      <c r="K83" s="12"/>
      <c r="L83" s="12"/>
      <c r="M83" s="12"/>
    </row>
    <row r="84" spans="3:13" x14ac:dyDescent="0.15">
      <c r="C84" s="12"/>
      <c r="D84" s="12"/>
      <c r="E84" s="12"/>
      <c r="F84" s="12"/>
      <c r="G84" s="12"/>
      <c r="H84" s="12"/>
      <c r="I84" s="12"/>
      <c r="J84" s="12"/>
      <c r="K84" s="12"/>
      <c r="L84" s="12"/>
      <c r="M84" s="12"/>
    </row>
    <row r="85" spans="3:13" x14ac:dyDescent="0.15">
      <c r="C85" s="12"/>
      <c r="D85" s="12"/>
      <c r="E85" s="12"/>
      <c r="F85" s="12"/>
      <c r="G85" s="12"/>
      <c r="H85" s="12"/>
      <c r="I85" s="12"/>
      <c r="J85" s="12"/>
      <c r="K85" s="12"/>
      <c r="L85" s="12"/>
      <c r="M85" s="12"/>
    </row>
    <row r="86" spans="3:13" x14ac:dyDescent="0.15">
      <c r="C86" s="12"/>
      <c r="D86" s="12"/>
      <c r="E86" s="12"/>
      <c r="F86" s="12"/>
      <c r="G86" s="12"/>
      <c r="H86" s="12"/>
      <c r="I86" s="12"/>
      <c r="J86" s="12"/>
      <c r="K86" s="12"/>
      <c r="L86" s="12"/>
      <c r="M86" s="12"/>
    </row>
    <row r="87" spans="3:13" x14ac:dyDescent="0.15">
      <c r="C87" s="12"/>
      <c r="D87" s="12"/>
      <c r="E87" s="12"/>
      <c r="F87" s="12"/>
      <c r="G87" s="12"/>
      <c r="H87" s="12"/>
      <c r="I87" s="12"/>
      <c r="J87" s="12"/>
      <c r="K87" s="12"/>
      <c r="L87" s="12"/>
      <c r="M87" s="12"/>
    </row>
    <row r="88" spans="3:13" x14ac:dyDescent="0.15">
      <c r="C88" s="12"/>
      <c r="D88" s="12"/>
      <c r="E88" s="12"/>
      <c r="F88" s="12"/>
      <c r="G88" s="12"/>
      <c r="H88" s="12"/>
      <c r="I88" s="12"/>
      <c r="J88" s="12"/>
      <c r="K88" s="12"/>
      <c r="L88" s="12"/>
      <c r="M88" s="12"/>
    </row>
    <row r="89" spans="3:13" x14ac:dyDescent="0.15">
      <c r="C89" s="12"/>
      <c r="D89" s="12"/>
      <c r="E89" s="12"/>
      <c r="F89" s="12"/>
      <c r="G89" s="12"/>
      <c r="H89" s="12"/>
      <c r="I89" s="12"/>
      <c r="J89" s="12"/>
      <c r="K89" s="12"/>
      <c r="L89" s="12"/>
      <c r="M89" s="12"/>
    </row>
    <row r="90" spans="3:13" x14ac:dyDescent="0.15">
      <c r="C90" s="12"/>
      <c r="D90" s="12"/>
      <c r="E90" s="12"/>
      <c r="F90" s="12"/>
      <c r="G90" s="12"/>
      <c r="H90" s="12"/>
      <c r="I90" s="12"/>
      <c r="J90" s="12"/>
      <c r="K90" s="12"/>
      <c r="L90" s="12"/>
      <c r="M90" s="12"/>
    </row>
    <row r="91" spans="3:13" x14ac:dyDescent="0.15">
      <c r="C91" s="12"/>
      <c r="D91" s="12"/>
      <c r="E91" s="12"/>
      <c r="F91" s="12"/>
      <c r="G91" s="12"/>
      <c r="H91" s="12"/>
      <c r="I91" s="12"/>
      <c r="J91" s="12"/>
      <c r="K91" s="12"/>
      <c r="L91" s="12"/>
      <c r="M91" s="12"/>
    </row>
    <row r="92" spans="3:13" x14ac:dyDescent="0.15">
      <c r="C92" s="12"/>
      <c r="D92" s="12"/>
      <c r="E92" s="12"/>
      <c r="F92" s="12"/>
      <c r="G92" s="12"/>
      <c r="H92" s="12"/>
      <c r="I92" s="12"/>
      <c r="J92" s="12"/>
      <c r="K92" s="12"/>
      <c r="L92" s="12"/>
      <c r="M92" s="12"/>
    </row>
    <row r="93" spans="3:13" x14ac:dyDescent="0.15">
      <c r="C93" s="12"/>
      <c r="D93" s="12"/>
      <c r="E93" s="12"/>
      <c r="F93" s="12"/>
      <c r="G93" s="12"/>
      <c r="H93" s="12"/>
      <c r="I93" s="12"/>
      <c r="J93" s="12"/>
      <c r="K93" s="12"/>
      <c r="L93" s="12"/>
      <c r="M93" s="12"/>
    </row>
    <row r="94" spans="3:13" x14ac:dyDescent="0.15">
      <c r="C94" s="12"/>
      <c r="D94" s="12"/>
      <c r="E94" s="12"/>
      <c r="F94" s="12"/>
      <c r="G94" s="12"/>
      <c r="H94" s="12"/>
      <c r="I94" s="12"/>
      <c r="J94" s="12"/>
      <c r="K94" s="12"/>
      <c r="L94" s="12"/>
      <c r="M94" s="12"/>
    </row>
    <row r="95" spans="3:13" x14ac:dyDescent="0.15">
      <c r="C95" s="12"/>
      <c r="D95" s="12"/>
      <c r="E95" s="12"/>
      <c r="F95" s="12"/>
      <c r="G95" s="12"/>
      <c r="H95" s="12"/>
      <c r="I95" s="12"/>
      <c r="J95" s="12"/>
      <c r="K95" s="12"/>
      <c r="L95" s="12"/>
      <c r="M95" s="12"/>
    </row>
    <row r="96" spans="3:13" x14ac:dyDescent="0.15">
      <c r="C96" s="12"/>
      <c r="D96" s="12"/>
      <c r="E96" s="12"/>
      <c r="F96" s="12"/>
      <c r="G96" s="12"/>
      <c r="H96" s="12"/>
      <c r="I96" s="12"/>
      <c r="J96" s="12"/>
      <c r="K96" s="12"/>
      <c r="L96" s="12"/>
      <c r="M96" s="12"/>
    </row>
    <row r="97" spans="3:13" x14ac:dyDescent="0.15">
      <c r="C97" s="12"/>
      <c r="D97" s="12"/>
      <c r="E97" s="12"/>
      <c r="F97" s="12"/>
      <c r="G97" s="12"/>
      <c r="H97" s="12"/>
      <c r="I97" s="12"/>
      <c r="J97" s="12"/>
      <c r="K97" s="12"/>
      <c r="L97" s="12"/>
      <c r="M97" s="12"/>
    </row>
    <row r="98" spans="3:13" x14ac:dyDescent="0.15">
      <c r="C98" s="12"/>
      <c r="H98" s="12"/>
      <c r="I98" s="12"/>
      <c r="J98" s="12"/>
      <c r="K98" s="12"/>
      <c r="L98" s="12"/>
      <c r="M98" s="12"/>
    </row>
    <row r="99" spans="3:13" x14ac:dyDescent="0.15">
      <c r="C99" s="12"/>
      <c r="H99" s="12"/>
      <c r="I99" s="12"/>
      <c r="J99" s="12"/>
      <c r="K99" s="12"/>
      <c r="L99" s="12"/>
      <c r="M99" s="12"/>
    </row>
    <row r="100" spans="3:13" x14ac:dyDescent="0.15">
      <c r="H100" s="12"/>
      <c r="I100" s="12"/>
      <c r="J100" s="12"/>
      <c r="K100" s="12"/>
      <c r="L100" s="12"/>
      <c r="M100" s="12"/>
    </row>
    <row r="101" spans="3:13" x14ac:dyDescent="0.15">
      <c r="H101" s="12"/>
      <c r="I101" s="12"/>
      <c r="J101" s="12"/>
      <c r="K101" s="12"/>
      <c r="L101" s="12"/>
      <c r="M101" s="12"/>
    </row>
    <row r="102" spans="3:13" x14ac:dyDescent="0.15">
      <c r="H102" s="12"/>
      <c r="I102" s="12"/>
      <c r="J102" s="12"/>
      <c r="K102" s="12"/>
      <c r="L102" s="12"/>
      <c r="M102" s="12"/>
    </row>
    <row r="103" spans="3:13" x14ac:dyDescent="0.15">
      <c r="H103" s="12"/>
      <c r="I103" s="12"/>
      <c r="J103" s="12"/>
      <c r="K103" s="12"/>
      <c r="L103" s="12"/>
      <c r="M103" s="12"/>
    </row>
    <row r="104" spans="3:13" x14ac:dyDescent="0.15">
      <c r="H104" s="12"/>
      <c r="I104" s="12"/>
      <c r="J104" s="12"/>
      <c r="K104" s="12"/>
      <c r="L104" s="12"/>
      <c r="M104" s="12"/>
    </row>
    <row r="105" spans="3:13" x14ac:dyDescent="0.15">
      <c r="H105" s="12"/>
      <c r="I105" s="12"/>
      <c r="J105" s="12"/>
      <c r="K105" s="12"/>
      <c r="L105" s="12"/>
      <c r="M105" s="12"/>
    </row>
    <row r="106" spans="3:13" x14ac:dyDescent="0.15">
      <c r="H106" s="12"/>
      <c r="I106" s="12"/>
      <c r="J106" s="12"/>
      <c r="K106" s="12"/>
      <c r="L106" s="12"/>
      <c r="M106" s="12"/>
    </row>
    <row r="107" spans="3:13" x14ac:dyDescent="0.15">
      <c r="H107" s="12"/>
      <c r="I107" s="12"/>
      <c r="J107" s="12"/>
      <c r="K107" s="12"/>
      <c r="L107" s="12"/>
      <c r="M107" s="12"/>
    </row>
    <row r="108" spans="3:13" x14ac:dyDescent="0.15">
      <c r="H108" s="12"/>
      <c r="I108" s="12"/>
      <c r="J108" s="12"/>
      <c r="K108" s="12"/>
      <c r="L108" s="12"/>
      <c r="M108" s="12"/>
    </row>
    <row r="109" spans="3:13" x14ac:dyDescent="0.15">
      <c r="H109" s="12"/>
      <c r="I109" s="12"/>
      <c r="J109" s="12"/>
      <c r="K109" s="12"/>
      <c r="L109" s="12"/>
      <c r="M109" s="12"/>
    </row>
    <row r="110" spans="3:13" x14ac:dyDescent="0.15">
      <c r="H110" s="12"/>
      <c r="I110" s="12"/>
      <c r="J110" s="12"/>
      <c r="K110" s="12"/>
      <c r="L110" s="12"/>
      <c r="M110" s="12"/>
    </row>
    <row r="111" spans="3:13" x14ac:dyDescent="0.15">
      <c r="H111" s="12"/>
      <c r="I111" s="12"/>
      <c r="J111" s="12"/>
      <c r="K111" s="12"/>
      <c r="L111" s="12"/>
      <c r="M111" s="12"/>
    </row>
    <row r="112" spans="3: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row>
    <row r="116" spans="8:13" x14ac:dyDescent="0.15">
      <c r="H116" s="12"/>
      <c r="I116" s="12"/>
      <c r="J116" s="12"/>
      <c r="K116" s="12"/>
      <c r="L116" s="12"/>
    </row>
    <row r="117" spans="8:13" x14ac:dyDescent="0.15">
      <c r="H117" s="12"/>
      <c r="I117" s="12"/>
      <c r="J117" s="12"/>
      <c r="K117" s="12"/>
      <c r="L117" s="12"/>
    </row>
  </sheetData>
  <customSheetViews>
    <customSheetView guid="{56C9F3FB-E1BF-4A84-A9C1-883C4971E148}" scale="85" topLeftCell="A49">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49">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B51:J56"/>
    <mergeCell ref="B24:C24"/>
    <mergeCell ref="D24:E24"/>
    <mergeCell ref="B25:C26"/>
    <mergeCell ref="D25:E26"/>
    <mergeCell ref="B27:C28"/>
    <mergeCell ref="D27:E28"/>
    <mergeCell ref="M52:M53"/>
    <mergeCell ref="M54:M55"/>
    <mergeCell ref="K54:L55"/>
    <mergeCell ref="M25:M26"/>
    <mergeCell ref="H27:H28"/>
    <mergeCell ref="I27:I28"/>
    <mergeCell ref="J27:J28"/>
    <mergeCell ref="K27:K28"/>
    <mergeCell ref="L27:L28"/>
    <mergeCell ref="M27:M28"/>
    <mergeCell ref="H25:H26"/>
    <mergeCell ref="I25:I26"/>
    <mergeCell ref="J25:J26"/>
    <mergeCell ref="K25:K26"/>
    <mergeCell ref="L25:L26"/>
    <mergeCell ref="M29:M30"/>
    <mergeCell ref="H31:H32"/>
    <mergeCell ref="M1:M2"/>
    <mergeCell ref="K50:M50"/>
    <mergeCell ref="I1:I2"/>
    <mergeCell ref="B19:C19"/>
    <mergeCell ref="D19:E19"/>
    <mergeCell ref="B20:C21"/>
    <mergeCell ref="D20:E21"/>
    <mergeCell ref="B10:C11"/>
    <mergeCell ref="B13:C13"/>
    <mergeCell ref="D13:E13"/>
    <mergeCell ref="B14:C15"/>
    <mergeCell ref="D14:E15"/>
    <mergeCell ref="F10:F11"/>
    <mergeCell ref="B22:C23"/>
    <mergeCell ref="D22:E23"/>
    <mergeCell ref="B42:E42"/>
    <mergeCell ref="L1:L2"/>
    <mergeCell ref="B50:F50"/>
    <mergeCell ref="D10:E11"/>
    <mergeCell ref="H3:H4"/>
    <mergeCell ref="H5:H6"/>
    <mergeCell ref="I5:I6"/>
    <mergeCell ref="J5:J6"/>
    <mergeCell ref="D9:E9"/>
    <mergeCell ref="K56:L56"/>
    <mergeCell ref="D2:E3"/>
    <mergeCell ref="K51:L51"/>
    <mergeCell ref="H1:H2"/>
    <mergeCell ref="B1:C1"/>
    <mergeCell ref="D1:E1"/>
    <mergeCell ref="B2:C3"/>
    <mergeCell ref="H50:J50"/>
    <mergeCell ref="B5:C5"/>
    <mergeCell ref="K52:L53"/>
    <mergeCell ref="K1:K2"/>
    <mergeCell ref="J1:J2"/>
    <mergeCell ref="B16:C17"/>
    <mergeCell ref="B43:E44"/>
    <mergeCell ref="B47:C48"/>
    <mergeCell ref="D47:E48"/>
    <mergeCell ref="B46:C46"/>
    <mergeCell ref="D46:E46"/>
    <mergeCell ref="F2:F3"/>
    <mergeCell ref="D5:F7"/>
    <mergeCell ref="B6:C7"/>
    <mergeCell ref="D16:E17"/>
    <mergeCell ref="B9:C9"/>
    <mergeCell ref="I31:I32"/>
    <mergeCell ref="L5:L6"/>
    <mergeCell ref="K5:K6"/>
    <mergeCell ref="M3:M4"/>
    <mergeCell ref="L3:L4"/>
    <mergeCell ref="K3:K4"/>
    <mergeCell ref="J3:J4"/>
    <mergeCell ref="I3:I4"/>
    <mergeCell ref="M9:M10"/>
    <mergeCell ref="M5:M6"/>
    <mergeCell ref="H11:H12"/>
    <mergeCell ref="I11:I12"/>
    <mergeCell ref="J11:J12"/>
    <mergeCell ref="K11:K12"/>
    <mergeCell ref="L11:L12"/>
    <mergeCell ref="M11:M12"/>
    <mergeCell ref="H9:H10"/>
    <mergeCell ref="I9:I10"/>
    <mergeCell ref="J9:J10"/>
    <mergeCell ref="K9:K10"/>
    <mergeCell ref="L9:L10"/>
    <mergeCell ref="M13:M14"/>
    <mergeCell ref="H15:H16"/>
    <mergeCell ref="I15:I16"/>
    <mergeCell ref="J15:J16"/>
    <mergeCell ref="K15:K16"/>
    <mergeCell ref="L15:L16"/>
    <mergeCell ref="M15:M16"/>
    <mergeCell ref="H13:H14"/>
    <mergeCell ref="I13:I14"/>
    <mergeCell ref="J13:J14"/>
    <mergeCell ref="K13:K14"/>
    <mergeCell ref="L13:L14"/>
    <mergeCell ref="M17:M18"/>
    <mergeCell ref="H19:H20"/>
    <mergeCell ref="I19:I20"/>
    <mergeCell ref="J19:J20"/>
    <mergeCell ref="K19:K20"/>
    <mergeCell ref="L19:L20"/>
    <mergeCell ref="M19:M20"/>
    <mergeCell ref="H17:H18"/>
    <mergeCell ref="I17:I18"/>
    <mergeCell ref="J17:J18"/>
    <mergeCell ref="K17:K18"/>
    <mergeCell ref="L17:L18"/>
    <mergeCell ref="M21:M22"/>
    <mergeCell ref="H23:H24"/>
    <mergeCell ref="I23:I24"/>
    <mergeCell ref="J23:J24"/>
    <mergeCell ref="K23:K24"/>
    <mergeCell ref="L23:L24"/>
    <mergeCell ref="M23:M24"/>
    <mergeCell ref="H21:H22"/>
    <mergeCell ref="I21:I22"/>
    <mergeCell ref="J21:J22"/>
    <mergeCell ref="K21:K22"/>
    <mergeCell ref="L21:L22"/>
    <mergeCell ref="J31:J32"/>
    <mergeCell ref="K31:K32"/>
    <mergeCell ref="L31:L32"/>
    <mergeCell ref="M31:M32"/>
    <mergeCell ref="H29:H30"/>
    <mergeCell ref="I29:I30"/>
    <mergeCell ref="J29:J30"/>
    <mergeCell ref="K29:K30"/>
    <mergeCell ref="L29:L30"/>
    <mergeCell ref="M33:M34"/>
    <mergeCell ref="H35:H36"/>
    <mergeCell ref="I35:I36"/>
    <mergeCell ref="J35:J36"/>
    <mergeCell ref="K35:K36"/>
    <mergeCell ref="L35:L36"/>
    <mergeCell ref="M35:M36"/>
    <mergeCell ref="H33:H34"/>
    <mergeCell ref="I33:I34"/>
    <mergeCell ref="J33:J34"/>
    <mergeCell ref="K33:K34"/>
    <mergeCell ref="L33:L34"/>
    <mergeCell ref="M37:M38"/>
    <mergeCell ref="H39:H40"/>
    <mergeCell ref="I39:I40"/>
    <mergeCell ref="J39:J40"/>
    <mergeCell ref="K39:K40"/>
    <mergeCell ref="L39:L40"/>
    <mergeCell ref="M39:M40"/>
    <mergeCell ref="H37:H38"/>
    <mergeCell ref="I37:I38"/>
    <mergeCell ref="J37:J38"/>
    <mergeCell ref="K37:K38"/>
    <mergeCell ref="L37:L38"/>
    <mergeCell ref="M45:M46"/>
    <mergeCell ref="H7:H8"/>
    <mergeCell ref="I7:I8"/>
    <mergeCell ref="J7:J8"/>
    <mergeCell ref="K7:K8"/>
    <mergeCell ref="L7:L8"/>
    <mergeCell ref="M7:M8"/>
    <mergeCell ref="H45:H46"/>
    <mergeCell ref="I45:I46"/>
    <mergeCell ref="J45:J46"/>
    <mergeCell ref="K45:K46"/>
    <mergeCell ref="L45:L46"/>
    <mergeCell ref="M41:M42"/>
    <mergeCell ref="H43:H44"/>
    <mergeCell ref="I43:I44"/>
    <mergeCell ref="J43:J44"/>
    <mergeCell ref="K43:K44"/>
    <mergeCell ref="L43:L44"/>
    <mergeCell ref="M43:M44"/>
    <mergeCell ref="H41:H42"/>
    <mergeCell ref="I41:I42"/>
    <mergeCell ref="J41:J42"/>
    <mergeCell ref="K41:K42"/>
    <mergeCell ref="L41:L42"/>
  </mergeCells>
  <conditionalFormatting sqref="F10">
    <cfRule type="cellIs" dxfId="595" priority="54" stopIfTrue="1" operator="equal">
      <formula>"PASS"</formula>
    </cfRule>
    <cfRule type="cellIs" dxfId="594" priority="53" stopIfTrue="1" operator="equal">
      <formula>"FAIL"</formula>
    </cfRule>
  </conditionalFormatting>
  <conditionalFormatting sqref="L3 L5 L49:L51 L56">
    <cfRule type="cellIs" dxfId="593" priority="62" stopIfTrue="1" operator="equal">
      <formula>"PASS"</formula>
    </cfRule>
    <cfRule type="cellIs" dxfId="592" priority="61" stopIfTrue="1" operator="equal">
      <formula>"FAIL"</formula>
    </cfRule>
  </conditionalFormatting>
  <conditionalFormatting sqref="L7">
    <cfRule type="cellIs" dxfId="591" priority="3" stopIfTrue="1" operator="equal">
      <formula>"FAIL"</formula>
    </cfRule>
    <cfRule type="cellIs" dxfId="590" priority="4" stopIfTrue="1" operator="equal">
      <formula>"PASS"</formula>
    </cfRule>
  </conditionalFormatting>
  <conditionalFormatting sqref="L9">
    <cfRule type="cellIs" dxfId="589" priority="42" stopIfTrue="1" operator="equal">
      <formula>"PASS"</formula>
    </cfRule>
    <cfRule type="cellIs" dxfId="588" priority="41" stopIfTrue="1" operator="equal">
      <formula>"FAIL"</formula>
    </cfRule>
  </conditionalFormatting>
  <conditionalFormatting sqref="L11">
    <cfRule type="cellIs" dxfId="587" priority="40" stopIfTrue="1" operator="equal">
      <formula>"PASS"</formula>
    </cfRule>
    <cfRule type="cellIs" dxfId="586" priority="39" stopIfTrue="1" operator="equal">
      <formula>"FAIL"</formula>
    </cfRule>
  </conditionalFormatting>
  <conditionalFormatting sqref="L13">
    <cfRule type="cellIs" dxfId="585" priority="38" stopIfTrue="1" operator="equal">
      <formula>"PASS"</formula>
    </cfRule>
    <cfRule type="cellIs" dxfId="584" priority="37" stopIfTrue="1" operator="equal">
      <formula>"FAIL"</formula>
    </cfRule>
  </conditionalFormatting>
  <conditionalFormatting sqref="L15">
    <cfRule type="cellIs" dxfId="583" priority="36" stopIfTrue="1" operator="equal">
      <formula>"PASS"</formula>
    </cfRule>
    <cfRule type="cellIs" dxfId="582" priority="35" stopIfTrue="1" operator="equal">
      <formula>"FAIL"</formula>
    </cfRule>
  </conditionalFormatting>
  <conditionalFormatting sqref="L17">
    <cfRule type="cellIs" dxfId="581" priority="34" stopIfTrue="1" operator="equal">
      <formula>"PASS"</formula>
    </cfRule>
    <cfRule type="cellIs" dxfId="580" priority="33" stopIfTrue="1" operator="equal">
      <formula>"FAIL"</formula>
    </cfRule>
  </conditionalFormatting>
  <conditionalFormatting sqref="L19">
    <cfRule type="cellIs" dxfId="579" priority="32" stopIfTrue="1" operator="equal">
      <formula>"PASS"</formula>
    </cfRule>
    <cfRule type="cellIs" dxfId="578" priority="31" stopIfTrue="1" operator="equal">
      <formula>"FAIL"</formula>
    </cfRule>
  </conditionalFormatting>
  <conditionalFormatting sqref="L21">
    <cfRule type="cellIs" dxfId="577" priority="30" stopIfTrue="1" operator="equal">
      <formula>"PASS"</formula>
    </cfRule>
    <cfRule type="cellIs" dxfId="576" priority="29" stopIfTrue="1" operator="equal">
      <formula>"FAIL"</formula>
    </cfRule>
  </conditionalFormatting>
  <conditionalFormatting sqref="L23">
    <cfRule type="cellIs" dxfId="575" priority="27" stopIfTrue="1" operator="equal">
      <formula>"FAIL"</formula>
    </cfRule>
    <cfRule type="cellIs" dxfId="574" priority="28" stopIfTrue="1" operator="equal">
      <formula>"PASS"</formula>
    </cfRule>
  </conditionalFormatting>
  <conditionalFormatting sqref="L25">
    <cfRule type="cellIs" dxfId="573" priority="25" stopIfTrue="1" operator="equal">
      <formula>"FAIL"</formula>
    </cfRule>
    <cfRule type="cellIs" dxfId="572" priority="26" stopIfTrue="1" operator="equal">
      <formula>"PASS"</formula>
    </cfRule>
  </conditionalFormatting>
  <conditionalFormatting sqref="L27">
    <cfRule type="cellIs" dxfId="571" priority="24" stopIfTrue="1" operator="equal">
      <formula>"PASS"</formula>
    </cfRule>
    <cfRule type="cellIs" dxfId="570" priority="23" stopIfTrue="1" operator="equal">
      <formula>"FAIL"</formula>
    </cfRule>
  </conditionalFormatting>
  <conditionalFormatting sqref="L29">
    <cfRule type="cellIs" dxfId="569" priority="22" stopIfTrue="1" operator="equal">
      <formula>"PASS"</formula>
    </cfRule>
    <cfRule type="cellIs" dxfId="568" priority="21" stopIfTrue="1" operator="equal">
      <formula>"FAIL"</formula>
    </cfRule>
  </conditionalFormatting>
  <conditionalFormatting sqref="L31">
    <cfRule type="cellIs" dxfId="567" priority="20" stopIfTrue="1" operator="equal">
      <formula>"PASS"</formula>
    </cfRule>
    <cfRule type="cellIs" dxfId="566" priority="19" stopIfTrue="1" operator="equal">
      <formula>"FAIL"</formula>
    </cfRule>
  </conditionalFormatting>
  <conditionalFormatting sqref="L33">
    <cfRule type="cellIs" dxfId="565" priority="18" stopIfTrue="1" operator="equal">
      <formula>"PASS"</formula>
    </cfRule>
    <cfRule type="cellIs" dxfId="564" priority="17" stopIfTrue="1" operator="equal">
      <formula>"FAIL"</formula>
    </cfRule>
  </conditionalFormatting>
  <conditionalFormatting sqref="L35">
    <cfRule type="cellIs" dxfId="563" priority="16" stopIfTrue="1" operator="equal">
      <formula>"PASS"</formula>
    </cfRule>
    <cfRule type="cellIs" dxfId="562" priority="15" stopIfTrue="1" operator="equal">
      <formula>"FAIL"</formula>
    </cfRule>
  </conditionalFormatting>
  <conditionalFormatting sqref="L37">
    <cfRule type="cellIs" dxfId="561" priority="14" stopIfTrue="1" operator="equal">
      <formula>"PASS"</formula>
    </cfRule>
    <cfRule type="cellIs" dxfId="560" priority="13" stopIfTrue="1" operator="equal">
      <formula>"FAIL"</formula>
    </cfRule>
  </conditionalFormatting>
  <conditionalFormatting sqref="L39">
    <cfRule type="cellIs" dxfId="559" priority="12" stopIfTrue="1" operator="equal">
      <formula>"PASS"</formula>
    </cfRule>
    <cfRule type="cellIs" dxfId="558" priority="11" stopIfTrue="1" operator="equal">
      <formula>"FAIL"</formula>
    </cfRule>
  </conditionalFormatting>
  <conditionalFormatting sqref="L41">
    <cfRule type="cellIs" dxfId="557" priority="10" stopIfTrue="1" operator="equal">
      <formula>"PASS"</formula>
    </cfRule>
    <cfRule type="cellIs" dxfId="556" priority="9" stopIfTrue="1" operator="equal">
      <formula>"FAIL"</formula>
    </cfRule>
  </conditionalFormatting>
  <conditionalFormatting sqref="L43">
    <cfRule type="cellIs" dxfId="555" priority="7" stopIfTrue="1" operator="equal">
      <formula>"FAIL"</formula>
    </cfRule>
    <cfRule type="cellIs" dxfId="554" priority="8" stopIfTrue="1" operator="equal">
      <formula>"PASS"</formula>
    </cfRule>
  </conditionalFormatting>
  <conditionalFormatting sqref="L45">
    <cfRule type="cellIs" dxfId="553" priority="6" stopIfTrue="1" operator="equal">
      <formula>"PASS"</formula>
    </cfRule>
    <cfRule type="cellIs" dxfId="552" priority="5" stopIfTrue="1" operator="equal">
      <formula>"FAIL"</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026" r:id="rId8" name="Check Box 2">
              <controlPr locked="0" defaultSize="0" autoFill="0" autoLine="0" autoPict="0">
                <anchor moveWithCells="1">
                  <from>
                    <xdr:col>7</xdr:col>
                    <xdr:colOff>266700</xdr:colOff>
                    <xdr:row>49</xdr:row>
                    <xdr:rowOff>0</xdr:rowOff>
                  </from>
                  <to>
                    <xdr:col>7</xdr:col>
                    <xdr:colOff>1104900</xdr:colOff>
                    <xdr:row>50</xdr:row>
                    <xdr:rowOff>25400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11687493-C03A-4213-9587-DB405078110F}">
          <x14:formula1>
            <xm:f>'Worksheet Instructions'!$B$16:$B$55</xm:f>
          </x14:formula1>
          <xm:sqref>D10:E11</xm:sqref>
        </x14:dataValidation>
        <x14:dataValidation type="list" allowBlank="1" showInputMessage="1" showErrorMessage="1" xr:uid="{A813543F-D86C-425B-8532-EC8F7C3B9206}">
          <x14:formula1>
            <xm:f>'Worksheet Instructions'!E$16:E$45</xm:f>
          </x14:formula1>
          <xm:sqref>F2:F3</xm:sqref>
        </x14:dataValidation>
        <x14:dataValidation type="list" allowBlank="1" showInputMessage="1" showErrorMessage="1" xr:uid="{FA189123-9114-48FE-A850-A76F4E5E8E91}">
          <x14:formula1>
            <xm:f>'Worksheet Instructions'!H$16:H$29</xm:f>
          </x14:formula1>
          <xm:sqref>M3:M46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6996D-7FCF-465D-86F5-EBF256553961}">
  <dimension ref="A1:M124"/>
  <sheetViews>
    <sheetView zoomScale="85" zoomScaleNormal="85" zoomScaleSheetLayoutView="100" zoomScalePageLayoutView="87"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12">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12">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B24:C24"/>
    <mergeCell ref="D24:E24"/>
    <mergeCell ref="B25:C26"/>
    <mergeCell ref="D25:E26"/>
    <mergeCell ref="B27:C28"/>
    <mergeCell ref="D27:E28"/>
    <mergeCell ref="K52:L53"/>
    <mergeCell ref="M52:M53"/>
    <mergeCell ref="K54:L55"/>
    <mergeCell ref="M54:M55"/>
    <mergeCell ref="M45:M46"/>
    <mergeCell ref="B50:F50"/>
    <mergeCell ref="H50:J50"/>
    <mergeCell ref="K50:M50"/>
    <mergeCell ref="K51:L51"/>
    <mergeCell ref="H45:H46"/>
    <mergeCell ref="I45:I46"/>
    <mergeCell ref="J45:J46"/>
    <mergeCell ref="K45:K46"/>
    <mergeCell ref="L45:L46"/>
    <mergeCell ref="B51:J56"/>
    <mergeCell ref="K56:L56"/>
    <mergeCell ref="B46:C46"/>
    <mergeCell ref="D46:E46"/>
    <mergeCell ref="B47:C48"/>
    <mergeCell ref="D47:E48"/>
    <mergeCell ref="H43:H44"/>
    <mergeCell ref="I43:I44"/>
    <mergeCell ref="J43:J44"/>
    <mergeCell ref="K43:K44"/>
    <mergeCell ref="L43:L44"/>
    <mergeCell ref="M37:M38"/>
    <mergeCell ref="B42:E42"/>
    <mergeCell ref="B43:E44"/>
    <mergeCell ref="H39:H40"/>
    <mergeCell ref="I39:I40"/>
    <mergeCell ref="J39:J40"/>
    <mergeCell ref="K39:K40"/>
    <mergeCell ref="L39:L40"/>
    <mergeCell ref="M39:M40"/>
    <mergeCell ref="H37:H38"/>
    <mergeCell ref="I37:I38"/>
    <mergeCell ref="J37:J38"/>
    <mergeCell ref="K37:K38"/>
    <mergeCell ref="L37:L38"/>
    <mergeCell ref="M41:M42"/>
    <mergeCell ref="M43:M44"/>
    <mergeCell ref="H41:H42"/>
    <mergeCell ref="I41:I42"/>
    <mergeCell ref="J41:J42"/>
    <mergeCell ref="K41:K42"/>
    <mergeCell ref="L41:L42"/>
    <mergeCell ref="M33:M34"/>
    <mergeCell ref="H35:H36"/>
    <mergeCell ref="I35:I36"/>
    <mergeCell ref="J35:J36"/>
    <mergeCell ref="K35:K36"/>
    <mergeCell ref="L35:L36"/>
    <mergeCell ref="M35:M36"/>
    <mergeCell ref="H33:H34"/>
    <mergeCell ref="I33:I34"/>
    <mergeCell ref="J33:J34"/>
    <mergeCell ref="K33:K34"/>
    <mergeCell ref="L33:L34"/>
    <mergeCell ref="M29:M30"/>
    <mergeCell ref="H31:H32"/>
    <mergeCell ref="I31:I32"/>
    <mergeCell ref="J31:J32"/>
    <mergeCell ref="K31:K32"/>
    <mergeCell ref="L31:L32"/>
    <mergeCell ref="M31:M32"/>
    <mergeCell ref="H29:H30"/>
    <mergeCell ref="I29:I30"/>
    <mergeCell ref="J29:J30"/>
    <mergeCell ref="K29:K30"/>
    <mergeCell ref="L29:L30"/>
    <mergeCell ref="M25:M26"/>
    <mergeCell ref="H27:H28"/>
    <mergeCell ref="I27:I28"/>
    <mergeCell ref="J27:J28"/>
    <mergeCell ref="K27:K28"/>
    <mergeCell ref="L27:L28"/>
    <mergeCell ref="M27:M28"/>
    <mergeCell ref="H25:H26"/>
    <mergeCell ref="I25:I26"/>
    <mergeCell ref="J25:J26"/>
    <mergeCell ref="K25:K26"/>
    <mergeCell ref="L25:L26"/>
    <mergeCell ref="B19:C19"/>
    <mergeCell ref="D19:E19"/>
    <mergeCell ref="H19:H20"/>
    <mergeCell ref="I19:I20"/>
    <mergeCell ref="J19:J20"/>
    <mergeCell ref="K19:K20"/>
    <mergeCell ref="L19:L20"/>
    <mergeCell ref="M19:M20"/>
    <mergeCell ref="B20:C21"/>
    <mergeCell ref="D20:E21"/>
    <mergeCell ref="H21:H22"/>
    <mergeCell ref="I21:I22"/>
    <mergeCell ref="J21:J22"/>
    <mergeCell ref="K21:K22"/>
    <mergeCell ref="L21:L22"/>
    <mergeCell ref="M21:M22"/>
    <mergeCell ref="B22:C23"/>
    <mergeCell ref="D22:E23"/>
    <mergeCell ref="H23:H24"/>
    <mergeCell ref="I23:I24"/>
    <mergeCell ref="J23:J24"/>
    <mergeCell ref="K23:K24"/>
    <mergeCell ref="L23:L24"/>
    <mergeCell ref="M23:M24"/>
    <mergeCell ref="K13:K14"/>
    <mergeCell ref="L13:L14"/>
    <mergeCell ref="M13:M14"/>
    <mergeCell ref="B14:C15"/>
    <mergeCell ref="D14:E15"/>
    <mergeCell ref="H15:H16"/>
    <mergeCell ref="I15:I16"/>
    <mergeCell ref="J15:J16"/>
    <mergeCell ref="K15:K16"/>
    <mergeCell ref="L15:L16"/>
    <mergeCell ref="M15:M16"/>
    <mergeCell ref="B16:C17"/>
    <mergeCell ref="D16:E17"/>
    <mergeCell ref="H17:H18"/>
    <mergeCell ref="I17:I18"/>
    <mergeCell ref="J17:J18"/>
    <mergeCell ref="B13:C13"/>
    <mergeCell ref="D13:E13"/>
    <mergeCell ref="H13:H14"/>
    <mergeCell ref="I13:I14"/>
    <mergeCell ref="J13:J14"/>
    <mergeCell ref="K17:K18"/>
    <mergeCell ref="L17:L18"/>
    <mergeCell ref="M17:M18"/>
    <mergeCell ref="K9:K10"/>
    <mergeCell ref="L9:L10"/>
    <mergeCell ref="M9:M10"/>
    <mergeCell ref="B10:C11"/>
    <mergeCell ref="D10:E11"/>
    <mergeCell ref="F10:F11"/>
    <mergeCell ref="H11:H12"/>
    <mergeCell ref="I11:I12"/>
    <mergeCell ref="J11:J12"/>
    <mergeCell ref="K11:K12"/>
    <mergeCell ref="L11:L12"/>
    <mergeCell ref="M11:M12"/>
    <mergeCell ref="B9:C9"/>
    <mergeCell ref="D9:E9"/>
    <mergeCell ref="H9:H10"/>
    <mergeCell ref="I9:I10"/>
    <mergeCell ref="J9:J10"/>
    <mergeCell ref="K5:K6"/>
    <mergeCell ref="L5:L6"/>
    <mergeCell ref="M5:M6"/>
    <mergeCell ref="B6:C7"/>
    <mergeCell ref="H7:H8"/>
    <mergeCell ref="I7:I8"/>
    <mergeCell ref="J7:J8"/>
    <mergeCell ref="K7:K8"/>
    <mergeCell ref="L7:L8"/>
    <mergeCell ref="M7:M8"/>
    <mergeCell ref="B5:C5"/>
    <mergeCell ref="D5:F7"/>
    <mergeCell ref="H5:H6"/>
    <mergeCell ref="I5:I6"/>
    <mergeCell ref="J5:J6"/>
    <mergeCell ref="K1:K2"/>
    <mergeCell ref="L1:L2"/>
    <mergeCell ref="M1:M2"/>
    <mergeCell ref="B2:C3"/>
    <mergeCell ref="D2:E3"/>
    <mergeCell ref="F2:F3"/>
    <mergeCell ref="H3:H4"/>
    <mergeCell ref="I3:I4"/>
    <mergeCell ref="J3:J4"/>
    <mergeCell ref="K3:K4"/>
    <mergeCell ref="L3:L4"/>
    <mergeCell ref="M3:M4"/>
    <mergeCell ref="B1:C1"/>
    <mergeCell ref="D1:E1"/>
    <mergeCell ref="H1:H2"/>
    <mergeCell ref="I1:I2"/>
    <mergeCell ref="J1:J2"/>
  </mergeCells>
  <conditionalFormatting sqref="F10">
    <cfRule type="cellIs" dxfId="551" priority="82" stopIfTrue="1" operator="equal">
      <formula>"PASS"</formula>
    </cfRule>
    <cfRule type="cellIs" dxfId="550" priority="81" stopIfTrue="1" operator="equal">
      <formula>"FAIL"</formula>
    </cfRule>
  </conditionalFormatting>
  <conditionalFormatting sqref="L3 L5">
    <cfRule type="cellIs" dxfId="549" priority="42" stopIfTrue="1" operator="equal">
      <formula>"PASS"</formula>
    </cfRule>
    <cfRule type="cellIs" dxfId="548" priority="41" stopIfTrue="1" operator="equal">
      <formula>"FAIL"</formula>
    </cfRule>
  </conditionalFormatting>
  <conditionalFormatting sqref="L7">
    <cfRule type="cellIs" dxfId="547" priority="1" stopIfTrue="1" operator="equal">
      <formula>"FAIL"</formula>
    </cfRule>
    <cfRule type="cellIs" dxfId="546" priority="2" stopIfTrue="1" operator="equal">
      <formula>"PASS"</formula>
    </cfRule>
  </conditionalFormatting>
  <conditionalFormatting sqref="L9">
    <cfRule type="cellIs" dxfId="545" priority="40" stopIfTrue="1" operator="equal">
      <formula>"PASS"</formula>
    </cfRule>
    <cfRule type="cellIs" dxfId="544" priority="39" stopIfTrue="1" operator="equal">
      <formula>"FAIL"</formula>
    </cfRule>
  </conditionalFormatting>
  <conditionalFormatting sqref="L11">
    <cfRule type="cellIs" dxfId="543" priority="38" stopIfTrue="1" operator="equal">
      <formula>"PASS"</formula>
    </cfRule>
    <cfRule type="cellIs" dxfId="542" priority="37" stopIfTrue="1" operator="equal">
      <formula>"FAIL"</formula>
    </cfRule>
  </conditionalFormatting>
  <conditionalFormatting sqref="L13">
    <cfRule type="cellIs" dxfId="541" priority="36" stopIfTrue="1" operator="equal">
      <formula>"PASS"</formula>
    </cfRule>
    <cfRule type="cellIs" dxfId="540" priority="35" stopIfTrue="1" operator="equal">
      <formula>"FAIL"</formula>
    </cfRule>
  </conditionalFormatting>
  <conditionalFormatting sqref="L15">
    <cfRule type="cellIs" dxfId="539" priority="34" stopIfTrue="1" operator="equal">
      <formula>"PASS"</formula>
    </cfRule>
    <cfRule type="cellIs" dxfId="538" priority="33" stopIfTrue="1" operator="equal">
      <formula>"FAIL"</formula>
    </cfRule>
  </conditionalFormatting>
  <conditionalFormatting sqref="L17">
    <cfRule type="cellIs" dxfId="537" priority="32" stopIfTrue="1" operator="equal">
      <formula>"PASS"</formula>
    </cfRule>
    <cfRule type="cellIs" dxfId="536" priority="31" stopIfTrue="1" operator="equal">
      <formula>"FAIL"</formula>
    </cfRule>
  </conditionalFormatting>
  <conditionalFormatting sqref="L19">
    <cfRule type="cellIs" dxfId="535" priority="30" stopIfTrue="1" operator="equal">
      <formula>"PASS"</formula>
    </cfRule>
    <cfRule type="cellIs" dxfId="534" priority="29" stopIfTrue="1" operator="equal">
      <formula>"FAIL"</formula>
    </cfRule>
  </conditionalFormatting>
  <conditionalFormatting sqref="L21">
    <cfRule type="cellIs" dxfId="533" priority="28" stopIfTrue="1" operator="equal">
      <formula>"PASS"</formula>
    </cfRule>
    <cfRule type="cellIs" dxfId="532" priority="27" stopIfTrue="1" operator="equal">
      <formula>"FAIL"</formula>
    </cfRule>
  </conditionalFormatting>
  <conditionalFormatting sqref="L23">
    <cfRule type="cellIs" dxfId="531" priority="26" stopIfTrue="1" operator="equal">
      <formula>"PASS"</formula>
    </cfRule>
    <cfRule type="cellIs" dxfId="530" priority="25" stopIfTrue="1" operator="equal">
      <formula>"FAIL"</formula>
    </cfRule>
  </conditionalFormatting>
  <conditionalFormatting sqref="L25">
    <cfRule type="cellIs" dxfId="529" priority="24" stopIfTrue="1" operator="equal">
      <formula>"PASS"</formula>
    </cfRule>
    <cfRule type="cellIs" dxfId="528" priority="23" stopIfTrue="1" operator="equal">
      <formula>"FAIL"</formula>
    </cfRule>
  </conditionalFormatting>
  <conditionalFormatting sqref="L27">
    <cfRule type="cellIs" dxfId="527" priority="22" stopIfTrue="1" operator="equal">
      <formula>"PASS"</formula>
    </cfRule>
    <cfRule type="cellIs" dxfId="526" priority="21" stopIfTrue="1" operator="equal">
      <formula>"FAIL"</formula>
    </cfRule>
  </conditionalFormatting>
  <conditionalFormatting sqref="L29">
    <cfRule type="cellIs" dxfId="525" priority="20" stopIfTrue="1" operator="equal">
      <formula>"PASS"</formula>
    </cfRule>
    <cfRule type="cellIs" dxfId="524" priority="19" stopIfTrue="1" operator="equal">
      <formula>"FAIL"</formula>
    </cfRule>
  </conditionalFormatting>
  <conditionalFormatting sqref="L31">
    <cfRule type="cellIs" dxfId="523" priority="18" stopIfTrue="1" operator="equal">
      <formula>"PASS"</formula>
    </cfRule>
    <cfRule type="cellIs" dxfId="522" priority="17" stopIfTrue="1" operator="equal">
      <formula>"FAIL"</formula>
    </cfRule>
  </conditionalFormatting>
  <conditionalFormatting sqref="L33">
    <cfRule type="cellIs" dxfId="521" priority="16" stopIfTrue="1" operator="equal">
      <formula>"PASS"</formula>
    </cfRule>
    <cfRule type="cellIs" dxfId="520" priority="15" stopIfTrue="1" operator="equal">
      <formula>"FAIL"</formula>
    </cfRule>
  </conditionalFormatting>
  <conditionalFormatting sqref="L35">
    <cfRule type="cellIs" dxfId="519" priority="14" stopIfTrue="1" operator="equal">
      <formula>"PASS"</formula>
    </cfRule>
    <cfRule type="cellIs" dxfId="518" priority="13" stopIfTrue="1" operator="equal">
      <formula>"FAIL"</formula>
    </cfRule>
  </conditionalFormatting>
  <conditionalFormatting sqref="L37">
    <cfRule type="cellIs" dxfId="517" priority="12" stopIfTrue="1" operator="equal">
      <formula>"PASS"</formula>
    </cfRule>
    <cfRule type="cellIs" dxfId="516" priority="11" stopIfTrue="1" operator="equal">
      <formula>"FAIL"</formula>
    </cfRule>
  </conditionalFormatting>
  <conditionalFormatting sqref="L39">
    <cfRule type="cellIs" dxfId="515" priority="10" stopIfTrue="1" operator="equal">
      <formula>"PASS"</formula>
    </cfRule>
    <cfRule type="cellIs" dxfId="514" priority="9" stopIfTrue="1" operator="equal">
      <formula>"FAIL"</formula>
    </cfRule>
  </conditionalFormatting>
  <conditionalFormatting sqref="L41">
    <cfRule type="cellIs" dxfId="513" priority="8" stopIfTrue="1" operator="equal">
      <formula>"PASS"</formula>
    </cfRule>
    <cfRule type="cellIs" dxfId="512" priority="7" stopIfTrue="1" operator="equal">
      <formula>"FAIL"</formula>
    </cfRule>
  </conditionalFormatting>
  <conditionalFormatting sqref="L43">
    <cfRule type="cellIs" dxfId="511" priority="6" stopIfTrue="1" operator="equal">
      <formula>"PASS"</formula>
    </cfRule>
    <cfRule type="cellIs" dxfId="510" priority="5" stopIfTrue="1" operator="equal">
      <formula>"FAIL"</formula>
    </cfRule>
  </conditionalFormatting>
  <conditionalFormatting sqref="L45">
    <cfRule type="cellIs" dxfId="509" priority="4" stopIfTrue="1" operator="equal">
      <formula>"PASS"</formula>
    </cfRule>
    <cfRule type="cellIs" dxfId="508" priority="3" stopIfTrue="1" operator="equal">
      <formula>"FAIL"</formula>
    </cfRule>
  </conditionalFormatting>
  <conditionalFormatting sqref="L49:L51 L57:L63">
    <cfRule type="cellIs" dxfId="507" priority="125" stopIfTrue="1" operator="equal">
      <formula>"FAIL"</formula>
    </cfRule>
    <cfRule type="cellIs" dxfId="506" priority="12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45058" r:id="rId8" name="Check Box 2">
              <controlPr locked="0" defaultSize="0" autoFill="0" autoLine="0" autoPict="0">
                <anchor moveWithCells="1">
                  <from>
                    <xdr:col>7</xdr:col>
                    <xdr:colOff>266700</xdr:colOff>
                    <xdr:row>48</xdr:row>
                    <xdr:rowOff>139700</xdr:rowOff>
                  </from>
                  <to>
                    <xdr:col>7</xdr:col>
                    <xdr:colOff>1104900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8DD8BA8-B57B-42F1-88E4-E03EEC4FE234}">
          <x14:formula1>
            <xm:f>'Worksheet Instructions'!H$16:H$29</xm:f>
          </x14:formula1>
          <xm:sqref>M3:M46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62C9-339B-4AB9-9522-DE0D65CF601C}">
  <dimension ref="A1:M124"/>
  <sheetViews>
    <sheetView zoomScale="85" zoomScaleNormal="85" zoomScaleSheetLayoutView="100"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3">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3">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505" priority="44" stopIfTrue="1" operator="equal">
      <formula>"PASS"</formula>
    </cfRule>
    <cfRule type="cellIs" dxfId="504" priority="43" stopIfTrue="1" operator="equal">
      <formula>"FAIL"</formula>
    </cfRule>
  </conditionalFormatting>
  <conditionalFormatting sqref="L3 L5">
    <cfRule type="cellIs" dxfId="503" priority="42" stopIfTrue="1" operator="equal">
      <formula>"PASS"</formula>
    </cfRule>
    <cfRule type="cellIs" dxfId="502" priority="41" stopIfTrue="1" operator="equal">
      <formula>"FAIL"</formula>
    </cfRule>
  </conditionalFormatting>
  <conditionalFormatting sqref="L7">
    <cfRule type="cellIs" dxfId="501" priority="1" stopIfTrue="1" operator="equal">
      <formula>"FAIL"</formula>
    </cfRule>
    <cfRule type="cellIs" dxfId="500" priority="2" stopIfTrue="1" operator="equal">
      <formula>"PASS"</formula>
    </cfRule>
  </conditionalFormatting>
  <conditionalFormatting sqref="L9">
    <cfRule type="cellIs" dxfId="499" priority="40" stopIfTrue="1" operator="equal">
      <formula>"PASS"</formula>
    </cfRule>
    <cfRule type="cellIs" dxfId="498" priority="39" stopIfTrue="1" operator="equal">
      <formula>"FAIL"</formula>
    </cfRule>
  </conditionalFormatting>
  <conditionalFormatting sqref="L11">
    <cfRule type="cellIs" dxfId="497" priority="38" stopIfTrue="1" operator="equal">
      <formula>"PASS"</formula>
    </cfRule>
    <cfRule type="cellIs" dxfId="496" priority="37" stopIfTrue="1" operator="equal">
      <formula>"FAIL"</formula>
    </cfRule>
  </conditionalFormatting>
  <conditionalFormatting sqref="L13">
    <cfRule type="cellIs" dxfId="495" priority="36" stopIfTrue="1" operator="equal">
      <formula>"PASS"</formula>
    </cfRule>
    <cfRule type="cellIs" dxfId="494" priority="35" stopIfTrue="1" operator="equal">
      <formula>"FAIL"</formula>
    </cfRule>
  </conditionalFormatting>
  <conditionalFormatting sqref="L15">
    <cfRule type="cellIs" dxfId="493" priority="34" stopIfTrue="1" operator="equal">
      <formula>"PASS"</formula>
    </cfRule>
    <cfRule type="cellIs" dxfId="492" priority="33" stopIfTrue="1" operator="equal">
      <formula>"FAIL"</formula>
    </cfRule>
  </conditionalFormatting>
  <conditionalFormatting sqref="L17">
    <cfRule type="cellIs" dxfId="491" priority="32" stopIfTrue="1" operator="equal">
      <formula>"PASS"</formula>
    </cfRule>
    <cfRule type="cellIs" dxfId="490" priority="31" stopIfTrue="1" operator="equal">
      <formula>"FAIL"</formula>
    </cfRule>
  </conditionalFormatting>
  <conditionalFormatting sqref="L19">
    <cfRule type="cellIs" dxfId="489" priority="30" stopIfTrue="1" operator="equal">
      <formula>"PASS"</formula>
    </cfRule>
    <cfRule type="cellIs" dxfId="488" priority="29" stopIfTrue="1" operator="equal">
      <formula>"FAIL"</formula>
    </cfRule>
  </conditionalFormatting>
  <conditionalFormatting sqref="L21">
    <cfRule type="cellIs" dxfId="487" priority="28" stopIfTrue="1" operator="equal">
      <formula>"PASS"</formula>
    </cfRule>
    <cfRule type="cellIs" dxfId="486" priority="27" stopIfTrue="1" operator="equal">
      <formula>"FAIL"</formula>
    </cfRule>
  </conditionalFormatting>
  <conditionalFormatting sqref="L23">
    <cfRule type="cellIs" dxfId="485" priority="26" stopIfTrue="1" operator="equal">
      <formula>"PASS"</formula>
    </cfRule>
    <cfRule type="cellIs" dxfId="484" priority="25" stopIfTrue="1" operator="equal">
      <formula>"FAIL"</formula>
    </cfRule>
  </conditionalFormatting>
  <conditionalFormatting sqref="L25">
    <cfRule type="cellIs" dxfId="483" priority="24" stopIfTrue="1" operator="equal">
      <formula>"PASS"</formula>
    </cfRule>
    <cfRule type="cellIs" dxfId="482" priority="23" stopIfTrue="1" operator="equal">
      <formula>"FAIL"</formula>
    </cfRule>
  </conditionalFormatting>
  <conditionalFormatting sqref="L27">
    <cfRule type="cellIs" dxfId="481" priority="22" stopIfTrue="1" operator="equal">
      <formula>"PASS"</formula>
    </cfRule>
    <cfRule type="cellIs" dxfId="480" priority="21" stopIfTrue="1" operator="equal">
      <formula>"FAIL"</formula>
    </cfRule>
  </conditionalFormatting>
  <conditionalFormatting sqref="L29">
    <cfRule type="cellIs" dxfId="479" priority="20" stopIfTrue="1" operator="equal">
      <formula>"PASS"</formula>
    </cfRule>
    <cfRule type="cellIs" dxfId="478" priority="19" stopIfTrue="1" operator="equal">
      <formula>"FAIL"</formula>
    </cfRule>
  </conditionalFormatting>
  <conditionalFormatting sqref="L31">
    <cfRule type="cellIs" dxfId="477" priority="18" stopIfTrue="1" operator="equal">
      <formula>"PASS"</formula>
    </cfRule>
    <cfRule type="cellIs" dxfId="476" priority="17" stopIfTrue="1" operator="equal">
      <formula>"FAIL"</formula>
    </cfRule>
  </conditionalFormatting>
  <conditionalFormatting sqref="L33">
    <cfRule type="cellIs" dxfId="475" priority="16" stopIfTrue="1" operator="equal">
      <formula>"PASS"</formula>
    </cfRule>
    <cfRule type="cellIs" dxfId="474" priority="15" stopIfTrue="1" operator="equal">
      <formula>"FAIL"</formula>
    </cfRule>
  </conditionalFormatting>
  <conditionalFormatting sqref="L35">
    <cfRule type="cellIs" dxfId="473" priority="14" stopIfTrue="1" operator="equal">
      <formula>"PASS"</formula>
    </cfRule>
    <cfRule type="cellIs" dxfId="472" priority="13" stopIfTrue="1" operator="equal">
      <formula>"FAIL"</formula>
    </cfRule>
  </conditionalFormatting>
  <conditionalFormatting sqref="L37">
    <cfRule type="cellIs" dxfId="471" priority="12" stopIfTrue="1" operator="equal">
      <formula>"PASS"</formula>
    </cfRule>
    <cfRule type="cellIs" dxfId="470" priority="11" stopIfTrue="1" operator="equal">
      <formula>"FAIL"</formula>
    </cfRule>
  </conditionalFormatting>
  <conditionalFormatting sqref="L39">
    <cfRule type="cellIs" dxfId="469" priority="10" stopIfTrue="1" operator="equal">
      <formula>"PASS"</formula>
    </cfRule>
    <cfRule type="cellIs" dxfId="468" priority="9" stopIfTrue="1" operator="equal">
      <formula>"FAIL"</formula>
    </cfRule>
  </conditionalFormatting>
  <conditionalFormatting sqref="L41">
    <cfRule type="cellIs" dxfId="467" priority="8" stopIfTrue="1" operator="equal">
      <formula>"PASS"</formula>
    </cfRule>
    <cfRule type="cellIs" dxfId="466" priority="7" stopIfTrue="1" operator="equal">
      <formula>"FAIL"</formula>
    </cfRule>
  </conditionalFormatting>
  <conditionalFormatting sqref="L43">
    <cfRule type="cellIs" dxfId="465" priority="6" stopIfTrue="1" operator="equal">
      <formula>"PASS"</formula>
    </cfRule>
    <cfRule type="cellIs" dxfId="464" priority="5" stopIfTrue="1" operator="equal">
      <formula>"FAIL"</formula>
    </cfRule>
  </conditionalFormatting>
  <conditionalFormatting sqref="L45">
    <cfRule type="cellIs" dxfId="463" priority="4" stopIfTrue="1" operator="equal">
      <formula>"PASS"</formula>
    </cfRule>
    <cfRule type="cellIs" dxfId="462" priority="3" stopIfTrue="1" operator="equal">
      <formula>"FAIL"</formula>
    </cfRule>
  </conditionalFormatting>
  <conditionalFormatting sqref="L49:L51 L57:L63">
    <cfRule type="cellIs" dxfId="461" priority="45" stopIfTrue="1" operator="equal">
      <formula>"FAIL"</formula>
    </cfRule>
    <cfRule type="cellIs" dxfId="460"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05473"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01D9AA9-6E8C-4FEE-BAAD-14ECE4EC6C43}">
          <x14:formula1>
            <xm:f>'Worksheet Instructions'!H$16:H$29</xm:f>
          </x14:formula1>
          <xm:sqref>M3:M46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85092-0F48-4808-B53C-9827E4F97DA4}">
  <dimension ref="A1:M124"/>
  <sheetViews>
    <sheetView zoomScale="85" zoomScaleNormal="85" zoomScaleSheetLayoutView="100"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8">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8">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459" priority="44" stopIfTrue="1" operator="equal">
      <formula>"PASS"</formula>
    </cfRule>
    <cfRule type="cellIs" dxfId="458" priority="43" stopIfTrue="1" operator="equal">
      <formula>"FAIL"</formula>
    </cfRule>
  </conditionalFormatting>
  <conditionalFormatting sqref="L3 L5">
    <cfRule type="cellIs" dxfId="457" priority="42" stopIfTrue="1" operator="equal">
      <formula>"PASS"</formula>
    </cfRule>
    <cfRule type="cellIs" dxfId="456" priority="41" stopIfTrue="1" operator="equal">
      <formula>"FAIL"</formula>
    </cfRule>
  </conditionalFormatting>
  <conditionalFormatting sqref="L7">
    <cfRule type="cellIs" dxfId="455" priority="1" stopIfTrue="1" operator="equal">
      <formula>"FAIL"</formula>
    </cfRule>
    <cfRule type="cellIs" dxfId="454" priority="2" stopIfTrue="1" operator="equal">
      <formula>"PASS"</formula>
    </cfRule>
  </conditionalFormatting>
  <conditionalFormatting sqref="L9">
    <cfRule type="cellIs" dxfId="453" priority="40" stopIfTrue="1" operator="equal">
      <formula>"PASS"</formula>
    </cfRule>
    <cfRule type="cellIs" dxfId="452" priority="39" stopIfTrue="1" operator="equal">
      <formula>"FAIL"</formula>
    </cfRule>
  </conditionalFormatting>
  <conditionalFormatting sqref="L11">
    <cfRule type="cellIs" dxfId="451" priority="38" stopIfTrue="1" operator="equal">
      <formula>"PASS"</formula>
    </cfRule>
    <cfRule type="cellIs" dxfId="450" priority="37" stopIfTrue="1" operator="equal">
      <formula>"FAIL"</formula>
    </cfRule>
  </conditionalFormatting>
  <conditionalFormatting sqref="L13">
    <cfRule type="cellIs" dxfId="449" priority="36" stopIfTrue="1" operator="equal">
      <formula>"PASS"</formula>
    </cfRule>
    <cfRule type="cellIs" dxfId="448" priority="35" stopIfTrue="1" operator="equal">
      <formula>"FAIL"</formula>
    </cfRule>
  </conditionalFormatting>
  <conditionalFormatting sqref="L15">
    <cfRule type="cellIs" dxfId="447" priority="34" stopIfTrue="1" operator="equal">
      <formula>"PASS"</formula>
    </cfRule>
    <cfRule type="cellIs" dxfId="446" priority="33" stopIfTrue="1" operator="equal">
      <formula>"FAIL"</formula>
    </cfRule>
  </conditionalFormatting>
  <conditionalFormatting sqref="L17">
    <cfRule type="cellIs" dxfId="445" priority="32" stopIfTrue="1" operator="equal">
      <formula>"PASS"</formula>
    </cfRule>
    <cfRule type="cellIs" dxfId="444" priority="31" stopIfTrue="1" operator="equal">
      <formula>"FAIL"</formula>
    </cfRule>
  </conditionalFormatting>
  <conditionalFormatting sqref="L19">
    <cfRule type="cellIs" dxfId="443" priority="30" stopIfTrue="1" operator="equal">
      <formula>"PASS"</formula>
    </cfRule>
    <cfRule type="cellIs" dxfId="442" priority="29" stopIfTrue="1" operator="equal">
      <formula>"FAIL"</formula>
    </cfRule>
  </conditionalFormatting>
  <conditionalFormatting sqref="L21">
    <cfRule type="cellIs" dxfId="441" priority="28" stopIfTrue="1" operator="equal">
      <formula>"PASS"</formula>
    </cfRule>
    <cfRule type="cellIs" dxfId="440" priority="27" stopIfTrue="1" operator="equal">
      <formula>"FAIL"</formula>
    </cfRule>
  </conditionalFormatting>
  <conditionalFormatting sqref="L23">
    <cfRule type="cellIs" dxfId="439" priority="26" stopIfTrue="1" operator="equal">
      <formula>"PASS"</formula>
    </cfRule>
    <cfRule type="cellIs" dxfId="438" priority="25" stopIfTrue="1" operator="equal">
      <formula>"FAIL"</formula>
    </cfRule>
  </conditionalFormatting>
  <conditionalFormatting sqref="L25">
    <cfRule type="cellIs" dxfId="437" priority="24" stopIfTrue="1" operator="equal">
      <formula>"PASS"</formula>
    </cfRule>
    <cfRule type="cellIs" dxfId="436" priority="23" stopIfTrue="1" operator="equal">
      <formula>"FAIL"</formula>
    </cfRule>
  </conditionalFormatting>
  <conditionalFormatting sqref="L27">
    <cfRule type="cellIs" dxfId="435" priority="22" stopIfTrue="1" operator="equal">
      <formula>"PASS"</formula>
    </cfRule>
    <cfRule type="cellIs" dxfId="434" priority="21" stopIfTrue="1" operator="equal">
      <formula>"FAIL"</formula>
    </cfRule>
  </conditionalFormatting>
  <conditionalFormatting sqref="L29">
    <cfRule type="cellIs" dxfId="433" priority="20" stopIfTrue="1" operator="equal">
      <formula>"PASS"</formula>
    </cfRule>
    <cfRule type="cellIs" dxfId="432" priority="19" stopIfTrue="1" operator="equal">
      <formula>"FAIL"</formula>
    </cfRule>
  </conditionalFormatting>
  <conditionalFormatting sqref="L31">
    <cfRule type="cellIs" dxfId="431" priority="18" stopIfTrue="1" operator="equal">
      <formula>"PASS"</formula>
    </cfRule>
    <cfRule type="cellIs" dxfId="430" priority="17" stopIfTrue="1" operator="equal">
      <formula>"FAIL"</formula>
    </cfRule>
  </conditionalFormatting>
  <conditionalFormatting sqref="L33">
    <cfRule type="cellIs" dxfId="429" priority="16" stopIfTrue="1" operator="equal">
      <formula>"PASS"</formula>
    </cfRule>
    <cfRule type="cellIs" dxfId="428" priority="15" stopIfTrue="1" operator="equal">
      <formula>"FAIL"</formula>
    </cfRule>
  </conditionalFormatting>
  <conditionalFormatting sqref="L35">
    <cfRule type="cellIs" dxfId="427" priority="14" stopIfTrue="1" operator="equal">
      <formula>"PASS"</formula>
    </cfRule>
    <cfRule type="cellIs" dxfId="426" priority="13" stopIfTrue="1" operator="equal">
      <formula>"FAIL"</formula>
    </cfRule>
  </conditionalFormatting>
  <conditionalFormatting sqref="L37">
    <cfRule type="cellIs" dxfId="425" priority="12" stopIfTrue="1" operator="equal">
      <formula>"PASS"</formula>
    </cfRule>
    <cfRule type="cellIs" dxfId="424" priority="11" stopIfTrue="1" operator="equal">
      <formula>"FAIL"</formula>
    </cfRule>
  </conditionalFormatting>
  <conditionalFormatting sqref="L39">
    <cfRule type="cellIs" dxfId="423" priority="10" stopIfTrue="1" operator="equal">
      <formula>"PASS"</formula>
    </cfRule>
    <cfRule type="cellIs" dxfId="422" priority="9" stopIfTrue="1" operator="equal">
      <formula>"FAIL"</formula>
    </cfRule>
  </conditionalFormatting>
  <conditionalFormatting sqref="L41">
    <cfRule type="cellIs" dxfId="421" priority="8" stopIfTrue="1" operator="equal">
      <formula>"PASS"</formula>
    </cfRule>
    <cfRule type="cellIs" dxfId="420" priority="7" stopIfTrue="1" operator="equal">
      <formula>"FAIL"</formula>
    </cfRule>
  </conditionalFormatting>
  <conditionalFormatting sqref="L43">
    <cfRule type="cellIs" dxfId="419" priority="6" stopIfTrue="1" operator="equal">
      <formula>"PASS"</formula>
    </cfRule>
    <cfRule type="cellIs" dxfId="418" priority="5" stopIfTrue="1" operator="equal">
      <formula>"FAIL"</formula>
    </cfRule>
  </conditionalFormatting>
  <conditionalFormatting sqref="L45">
    <cfRule type="cellIs" dxfId="417" priority="4" stopIfTrue="1" operator="equal">
      <formula>"PASS"</formula>
    </cfRule>
    <cfRule type="cellIs" dxfId="416" priority="3" stopIfTrue="1" operator="equal">
      <formula>"FAIL"</formula>
    </cfRule>
  </conditionalFormatting>
  <conditionalFormatting sqref="L49:L51 L57:L63">
    <cfRule type="cellIs" dxfId="415" priority="45" stopIfTrue="1" operator="equal">
      <formula>"FAIL"</formula>
    </cfRule>
    <cfRule type="cellIs" dxfId="414"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06497"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5371153-FF81-4101-BE08-1F4687E1EFAF}">
          <x14:formula1>
            <xm:f>'Worksheet Instructions'!H$16:H$29</xm:f>
          </x14:formula1>
          <xm:sqref>M3:M46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F72C0-279A-45F9-9DAD-06E0857098E5}">
  <dimension ref="A1:M124"/>
  <sheetViews>
    <sheetView topLeftCell="B2" zoomScale="85" zoomScaleNormal="85" zoomScaleSheetLayoutView="100"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3">
      <selection activeCell="B6" sqref="B5:L8"/>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3">
      <selection activeCell="B6" sqref="B5:L8"/>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413" priority="44" stopIfTrue="1" operator="equal">
      <formula>"PASS"</formula>
    </cfRule>
    <cfRule type="cellIs" dxfId="412" priority="43" stopIfTrue="1" operator="equal">
      <formula>"FAIL"</formula>
    </cfRule>
  </conditionalFormatting>
  <conditionalFormatting sqref="L3 L5">
    <cfRule type="cellIs" dxfId="411" priority="42" stopIfTrue="1" operator="equal">
      <formula>"PASS"</formula>
    </cfRule>
    <cfRule type="cellIs" dxfId="410" priority="41" stopIfTrue="1" operator="equal">
      <formula>"FAIL"</formula>
    </cfRule>
  </conditionalFormatting>
  <conditionalFormatting sqref="L7">
    <cfRule type="cellIs" dxfId="409" priority="1" stopIfTrue="1" operator="equal">
      <formula>"FAIL"</formula>
    </cfRule>
    <cfRule type="cellIs" dxfId="408" priority="2" stopIfTrue="1" operator="equal">
      <formula>"PASS"</formula>
    </cfRule>
  </conditionalFormatting>
  <conditionalFormatting sqref="L9">
    <cfRule type="cellIs" dxfId="407" priority="40" stopIfTrue="1" operator="equal">
      <formula>"PASS"</formula>
    </cfRule>
    <cfRule type="cellIs" dxfId="406" priority="39" stopIfTrue="1" operator="equal">
      <formula>"FAIL"</formula>
    </cfRule>
  </conditionalFormatting>
  <conditionalFormatting sqref="L11">
    <cfRule type="cellIs" dxfId="405" priority="38" stopIfTrue="1" operator="equal">
      <formula>"PASS"</formula>
    </cfRule>
    <cfRule type="cellIs" dxfId="404" priority="37" stopIfTrue="1" operator="equal">
      <formula>"FAIL"</formula>
    </cfRule>
  </conditionalFormatting>
  <conditionalFormatting sqref="L13">
    <cfRule type="cellIs" dxfId="403" priority="36" stopIfTrue="1" operator="equal">
      <formula>"PASS"</formula>
    </cfRule>
    <cfRule type="cellIs" dxfId="402" priority="35" stopIfTrue="1" operator="equal">
      <formula>"FAIL"</formula>
    </cfRule>
  </conditionalFormatting>
  <conditionalFormatting sqref="L15">
    <cfRule type="cellIs" dxfId="401" priority="34" stopIfTrue="1" operator="equal">
      <formula>"PASS"</formula>
    </cfRule>
    <cfRule type="cellIs" dxfId="400" priority="33" stopIfTrue="1" operator="equal">
      <formula>"FAIL"</formula>
    </cfRule>
  </conditionalFormatting>
  <conditionalFormatting sqref="L17">
    <cfRule type="cellIs" dxfId="399" priority="32" stopIfTrue="1" operator="equal">
      <formula>"PASS"</formula>
    </cfRule>
    <cfRule type="cellIs" dxfId="398" priority="31" stopIfTrue="1" operator="equal">
      <formula>"FAIL"</formula>
    </cfRule>
  </conditionalFormatting>
  <conditionalFormatting sqref="L19">
    <cfRule type="cellIs" dxfId="397" priority="30" stopIfTrue="1" operator="equal">
      <formula>"PASS"</formula>
    </cfRule>
    <cfRule type="cellIs" dxfId="396" priority="29" stopIfTrue="1" operator="equal">
      <formula>"FAIL"</formula>
    </cfRule>
  </conditionalFormatting>
  <conditionalFormatting sqref="L21">
    <cfRule type="cellIs" dxfId="395" priority="28" stopIfTrue="1" operator="equal">
      <formula>"PASS"</formula>
    </cfRule>
    <cfRule type="cellIs" dxfId="394" priority="27" stopIfTrue="1" operator="equal">
      <formula>"FAIL"</formula>
    </cfRule>
  </conditionalFormatting>
  <conditionalFormatting sqref="L23">
    <cfRule type="cellIs" dxfId="393" priority="26" stopIfTrue="1" operator="equal">
      <formula>"PASS"</formula>
    </cfRule>
    <cfRule type="cellIs" dxfId="392" priority="25" stopIfTrue="1" operator="equal">
      <formula>"FAIL"</formula>
    </cfRule>
  </conditionalFormatting>
  <conditionalFormatting sqref="L25">
    <cfRule type="cellIs" dxfId="391" priority="24" stopIfTrue="1" operator="equal">
      <formula>"PASS"</formula>
    </cfRule>
    <cfRule type="cellIs" dxfId="390" priority="23" stopIfTrue="1" operator="equal">
      <formula>"FAIL"</formula>
    </cfRule>
  </conditionalFormatting>
  <conditionalFormatting sqref="L27">
    <cfRule type="cellIs" dxfId="389" priority="22" stopIfTrue="1" operator="equal">
      <formula>"PASS"</formula>
    </cfRule>
    <cfRule type="cellIs" dxfId="388" priority="21" stopIfTrue="1" operator="equal">
      <formula>"FAIL"</formula>
    </cfRule>
  </conditionalFormatting>
  <conditionalFormatting sqref="L29">
    <cfRule type="cellIs" dxfId="387" priority="20" stopIfTrue="1" operator="equal">
      <formula>"PASS"</formula>
    </cfRule>
    <cfRule type="cellIs" dxfId="386" priority="19" stopIfTrue="1" operator="equal">
      <formula>"FAIL"</formula>
    </cfRule>
  </conditionalFormatting>
  <conditionalFormatting sqref="L31">
    <cfRule type="cellIs" dxfId="385" priority="18" stopIfTrue="1" operator="equal">
      <formula>"PASS"</formula>
    </cfRule>
    <cfRule type="cellIs" dxfId="384" priority="17" stopIfTrue="1" operator="equal">
      <formula>"FAIL"</formula>
    </cfRule>
  </conditionalFormatting>
  <conditionalFormatting sqref="L33">
    <cfRule type="cellIs" dxfId="383" priority="16" stopIfTrue="1" operator="equal">
      <formula>"PASS"</formula>
    </cfRule>
    <cfRule type="cellIs" dxfId="382" priority="15" stopIfTrue="1" operator="equal">
      <formula>"FAIL"</formula>
    </cfRule>
  </conditionalFormatting>
  <conditionalFormatting sqref="L35">
    <cfRule type="cellIs" dxfId="381" priority="14" stopIfTrue="1" operator="equal">
      <formula>"PASS"</formula>
    </cfRule>
    <cfRule type="cellIs" dxfId="380" priority="13" stopIfTrue="1" operator="equal">
      <formula>"FAIL"</formula>
    </cfRule>
  </conditionalFormatting>
  <conditionalFormatting sqref="L37">
    <cfRule type="cellIs" dxfId="379" priority="12" stopIfTrue="1" operator="equal">
      <formula>"PASS"</formula>
    </cfRule>
    <cfRule type="cellIs" dxfId="378" priority="11" stopIfTrue="1" operator="equal">
      <formula>"FAIL"</formula>
    </cfRule>
  </conditionalFormatting>
  <conditionalFormatting sqref="L39">
    <cfRule type="cellIs" dxfId="377" priority="10" stopIfTrue="1" operator="equal">
      <formula>"PASS"</formula>
    </cfRule>
    <cfRule type="cellIs" dxfId="376" priority="9" stopIfTrue="1" operator="equal">
      <formula>"FAIL"</formula>
    </cfRule>
  </conditionalFormatting>
  <conditionalFormatting sqref="L41">
    <cfRule type="cellIs" dxfId="375" priority="8" stopIfTrue="1" operator="equal">
      <formula>"PASS"</formula>
    </cfRule>
    <cfRule type="cellIs" dxfId="374" priority="7" stopIfTrue="1" operator="equal">
      <formula>"FAIL"</formula>
    </cfRule>
  </conditionalFormatting>
  <conditionalFormatting sqref="L43">
    <cfRule type="cellIs" dxfId="373" priority="6" stopIfTrue="1" operator="equal">
      <formula>"PASS"</formula>
    </cfRule>
    <cfRule type="cellIs" dxfId="372" priority="5" stopIfTrue="1" operator="equal">
      <formula>"FAIL"</formula>
    </cfRule>
  </conditionalFormatting>
  <conditionalFormatting sqref="L45">
    <cfRule type="cellIs" dxfId="371" priority="4" stopIfTrue="1" operator="equal">
      <formula>"PASS"</formula>
    </cfRule>
    <cfRule type="cellIs" dxfId="370" priority="3" stopIfTrue="1" operator="equal">
      <formula>"FAIL"</formula>
    </cfRule>
  </conditionalFormatting>
  <conditionalFormatting sqref="L49:L51 L57:L63">
    <cfRule type="cellIs" dxfId="369" priority="45" stopIfTrue="1" operator="equal">
      <formula>"FAIL"</formula>
    </cfRule>
    <cfRule type="cellIs" dxfId="368"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07521"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1560E2D-13D5-475F-9AB4-245336DEF808}">
          <x14:formula1>
            <xm:f>'Worksheet Instructions'!H$16:H$29</xm:f>
          </x14:formula1>
          <xm:sqref>M3:M46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6B98-3934-4EBA-A4DD-25EB178F6448}">
  <dimension ref="A1:M124"/>
  <sheetViews>
    <sheetView topLeftCell="D1" zoomScale="85" zoomScaleNormal="85" zoomScaleSheetLayoutView="100"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3">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3">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367" priority="44" stopIfTrue="1" operator="equal">
      <formula>"PASS"</formula>
    </cfRule>
    <cfRule type="cellIs" dxfId="366" priority="43" stopIfTrue="1" operator="equal">
      <formula>"FAIL"</formula>
    </cfRule>
  </conditionalFormatting>
  <conditionalFormatting sqref="L3 L5">
    <cfRule type="cellIs" dxfId="365" priority="42" stopIfTrue="1" operator="equal">
      <formula>"PASS"</formula>
    </cfRule>
    <cfRule type="cellIs" dxfId="364" priority="41" stopIfTrue="1" operator="equal">
      <formula>"FAIL"</formula>
    </cfRule>
  </conditionalFormatting>
  <conditionalFormatting sqref="L7">
    <cfRule type="cellIs" dxfId="363" priority="1" stopIfTrue="1" operator="equal">
      <formula>"FAIL"</formula>
    </cfRule>
    <cfRule type="cellIs" dxfId="362" priority="2" stopIfTrue="1" operator="equal">
      <formula>"PASS"</formula>
    </cfRule>
  </conditionalFormatting>
  <conditionalFormatting sqref="L9">
    <cfRule type="cellIs" dxfId="361" priority="40" stopIfTrue="1" operator="equal">
      <formula>"PASS"</formula>
    </cfRule>
    <cfRule type="cellIs" dxfId="360" priority="39" stopIfTrue="1" operator="equal">
      <formula>"FAIL"</formula>
    </cfRule>
  </conditionalFormatting>
  <conditionalFormatting sqref="L11">
    <cfRule type="cellIs" dxfId="359" priority="38" stopIfTrue="1" operator="equal">
      <formula>"PASS"</formula>
    </cfRule>
    <cfRule type="cellIs" dxfId="358" priority="37" stopIfTrue="1" operator="equal">
      <formula>"FAIL"</formula>
    </cfRule>
  </conditionalFormatting>
  <conditionalFormatting sqref="L13">
    <cfRule type="cellIs" dxfId="357" priority="36" stopIfTrue="1" operator="equal">
      <formula>"PASS"</formula>
    </cfRule>
    <cfRule type="cellIs" dxfId="356" priority="35" stopIfTrue="1" operator="equal">
      <formula>"FAIL"</formula>
    </cfRule>
  </conditionalFormatting>
  <conditionalFormatting sqref="L15">
    <cfRule type="cellIs" dxfId="355" priority="34" stopIfTrue="1" operator="equal">
      <formula>"PASS"</formula>
    </cfRule>
    <cfRule type="cellIs" dxfId="354" priority="33" stopIfTrue="1" operator="equal">
      <formula>"FAIL"</formula>
    </cfRule>
  </conditionalFormatting>
  <conditionalFormatting sqref="L17">
    <cfRule type="cellIs" dxfId="353" priority="32" stopIfTrue="1" operator="equal">
      <formula>"PASS"</formula>
    </cfRule>
    <cfRule type="cellIs" dxfId="352" priority="31" stopIfTrue="1" operator="equal">
      <formula>"FAIL"</formula>
    </cfRule>
  </conditionalFormatting>
  <conditionalFormatting sqref="L19">
    <cfRule type="cellIs" dxfId="351" priority="30" stopIfTrue="1" operator="equal">
      <formula>"PASS"</formula>
    </cfRule>
    <cfRule type="cellIs" dxfId="350" priority="29" stopIfTrue="1" operator="equal">
      <formula>"FAIL"</formula>
    </cfRule>
  </conditionalFormatting>
  <conditionalFormatting sqref="L21">
    <cfRule type="cellIs" dxfId="349" priority="28" stopIfTrue="1" operator="equal">
      <formula>"PASS"</formula>
    </cfRule>
    <cfRule type="cellIs" dxfId="348" priority="27" stopIfTrue="1" operator="equal">
      <formula>"FAIL"</formula>
    </cfRule>
  </conditionalFormatting>
  <conditionalFormatting sqref="L23">
    <cfRule type="cellIs" dxfId="347" priority="26" stopIfTrue="1" operator="equal">
      <formula>"PASS"</formula>
    </cfRule>
    <cfRule type="cellIs" dxfId="346" priority="25" stopIfTrue="1" operator="equal">
      <formula>"FAIL"</formula>
    </cfRule>
  </conditionalFormatting>
  <conditionalFormatting sqref="L25">
    <cfRule type="cellIs" dxfId="345" priority="24" stopIfTrue="1" operator="equal">
      <formula>"PASS"</formula>
    </cfRule>
    <cfRule type="cellIs" dxfId="344" priority="23" stopIfTrue="1" operator="equal">
      <formula>"FAIL"</formula>
    </cfRule>
  </conditionalFormatting>
  <conditionalFormatting sqref="L27">
    <cfRule type="cellIs" dxfId="343" priority="22" stopIfTrue="1" operator="equal">
      <formula>"PASS"</formula>
    </cfRule>
    <cfRule type="cellIs" dxfId="342" priority="21" stopIfTrue="1" operator="equal">
      <formula>"FAIL"</formula>
    </cfRule>
  </conditionalFormatting>
  <conditionalFormatting sqref="L29">
    <cfRule type="cellIs" dxfId="341" priority="20" stopIfTrue="1" operator="equal">
      <formula>"PASS"</formula>
    </cfRule>
    <cfRule type="cellIs" dxfId="340" priority="19" stopIfTrue="1" operator="equal">
      <formula>"FAIL"</formula>
    </cfRule>
  </conditionalFormatting>
  <conditionalFormatting sqref="L31">
    <cfRule type="cellIs" dxfId="339" priority="18" stopIfTrue="1" operator="equal">
      <formula>"PASS"</formula>
    </cfRule>
    <cfRule type="cellIs" dxfId="338" priority="17" stopIfTrue="1" operator="equal">
      <formula>"FAIL"</formula>
    </cfRule>
  </conditionalFormatting>
  <conditionalFormatting sqref="L33">
    <cfRule type="cellIs" dxfId="337" priority="16" stopIfTrue="1" operator="equal">
      <formula>"PASS"</formula>
    </cfRule>
    <cfRule type="cellIs" dxfId="336" priority="15" stopIfTrue="1" operator="equal">
      <formula>"FAIL"</formula>
    </cfRule>
  </conditionalFormatting>
  <conditionalFormatting sqref="L35">
    <cfRule type="cellIs" dxfId="335" priority="14" stopIfTrue="1" operator="equal">
      <formula>"PASS"</formula>
    </cfRule>
    <cfRule type="cellIs" dxfId="334" priority="13" stopIfTrue="1" operator="equal">
      <formula>"FAIL"</formula>
    </cfRule>
  </conditionalFormatting>
  <conditionalFormatting sqref="L37">
    <cfRule type="cellIs" dxfId="333" priority="12" stopIfTrue="1" operator="equal">
      <formula>"PASS"</formula>
    </cfRule>
    <cfRule type="cellIs" dxfId="332" priority="11" stopIfTrue="1" operator="equal">
      <formula>"FAIL"</formula>
    </cfRule>
  </conditionalFormatting>
  <conditionalFormatting sqref="L39">
    <cfRule type="cellIs" dxfId="331" priority="10" stopIfTrue="1" operator="equal">
      <formula>"PASS"</formula>
    </cfRule>
    <cfRule type="cellIs" dxfId="330" priority="9" stopIfTrue="1" operator="equal">
      <formula>"FAIL"</formula>
    </cfRule>
  </conditionalFormatting>
  <conditionalFormatting sqref="L41">
    <cfRule type="cellIs" dxfId="329" priority="8" stopIfTrue="1" operator="equal">
      <formula>"PASS"</formula>
    </cfRule>
    <cfRule type="cellIs" dxfId="328" priority="7" stopIfTrue="1" operator="equal">
      <formula>"FAIL"</formula>
    </cfRule>
  </conditionalFormatting>
  <conditionalFormatting sqref="L43">
    <cfRule type="cellIs" dxfId="327" priority="6" stopIfTrue="1" operator="equal">
      <formula>"PASS"</formula>
    </cfRule>
    <cfRule type="cellIs" dxfId="326" priority="5" stopIfTrue="1" operator="equal">
      <formula>"FAIL"</formula>
    </cfRule>
  </conditionalFormatting>
  <conditionalFormatting sqref="L45">
    <cfRule type="cellIs" dxfId="325" priority="4" stopIfTrue="1" operator="equal">
      <formula>"PASS"</formula>
    </cfRule>
    <cfRule type="cellIs" dxfId="324" priority="3" stopIfTrue="1" operator="equal">
      <formula>"FAIL"</formula>
    </cfRule>
  </conditionalFormatting>
  <conditionalFormatting sqref="L49:L51 L57:L63">
    <cfRule type="cellIs" dxfId="323" priority="45" stopIfTrue="1" operator="equal">
      <formula>"FAIL"</formula>
    </cfRule>
    <cfRule type="cellIs" dxfId="322"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08545"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87F53C4-9129-4593-B933-2D745F8FA3BC}">
          <x14:formula1>
            <xm:f>'Worksheet Instructions'!H$16:H$29</xm:f>
          </x14:formula1>
          <xm:sqref>M3:M46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17BDB-7108-4930-A2A9-221C1192D3E9}">
  <dimension ref="A1:M124"/>
  <sheetViews>
    <sheetView zoomScale="85" zoomScaleNormal="85" zoomScaleSheetLayoutView="100"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11">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11">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321" priority="44" stopIfTrue="1" operator="equal">
      <formula>"PASS"</formula>
    </cfRule>
    <cfRule type="cellIs" dxfId="320" priority="43" stopIfTrue="1" operator="equal">
      <formula>"FAIL"</formula>
    </cfRule>
  </conditionalFormatting>
  <conditionalFormatting sqref="L3 L5">
    <cfRule type="cellIs" dxfId="319" priority="42" stopIfTrue="1" operator="equal">
      <formula>"PASS"</formula>
    </cfRule>
    <cfRule type="cellIs" dxfId="318" priority="41" stopIfTrue="1" operator="equal">
      <formula>"FAIL"</formula>
    </cfRule>
  </conditionalFormatting>
  <conditionalFormatting sqref="L7">
    <cfRule type="cellIs" dxfId="317" priority="1" stopIfTrue="1" operator="equal">
      <formula>"FAIL"</formula>
    </cfRule>
    <cfRule type="cellIs" dxfId="316" priority="2" stopIfTrue="1" operator="equal">
      <formula>"PASS"</formula>
    </cfRule>
  </conditionalFormatting>
  <conditionalFormatting sqref="L9">
    <cfRule type="cellIs" dxfId="315" priority="40" stopIfTrue="1" operator="equal">
      <formula>"PASS"</formula>
    </cfRule>
    <cfRule type="cellIs" dxfId="314" priority="39" stopIfTrue="1" operator="equal">
      <formula>"FAIL"</formula>
    </cfRule>
  </conditionalFormatting>
  <conditionalFormatting sqref="L11">
    <cfRule type="cellIs" dxfId="313" priority="38" stopIfTrue="1" operator="equal">
      <formula>"PASS"</formula>
    </cfRule>
    <cfRule type="cellIs" dxfId="312" priority="37" stopIfTrue="1" operator="equal">
      <formula>"FAIL"</formula>
    </cfRule>
  </conditionalFormatting>
  <conditionalFormatting sqref="L13">
    <cfRule type="cellIs" dxfId="311" priority="36" stopIfTrue="1" operator="equal">
      <formula>"PASS"</formula>
    </cfRule>
    <cfRule type="cellIs" dxfId="310" priority="35" stopIfTrue="1" operator="equal">
      <formula>"FAIL"</formula>
    </cfRule>
  </conditionalFormatting>
  <conditionalFormatting sqref="L15">
    <cfRule type="cellIs" dxfId="309" priority="34" stopIfTrue="1" operator="equal">
      <formula>"PASS"</formula>
    </cfRule>
    <cfRule type="cellIs" dxfId="308" priority="33" stopIfTrue="1" operator="equal">
      <formula>"FAIL"</formula>
    </cfRule>
  </conditionalFormatting>
  <conditionalFormatting sqref="L17">
    <cfRule type="cellIs" dxfId="307" priority="32" stopIfTrue="1" operator="equal">
      <formula>"PASS"</formula>
    </cfRule>
    <cfRule type="cellIs" dxfId="306" priority="31" stopIfTrue="1" operator="equal">
      <formula>"FAIL"</formula>
    </cfRule>
  </conditionalFormatting>
  <conditionalFormatting sqref="L19">
    <cfRule type="cellIs" dxfId="305" priority="30" stopIfTrue="1" operator="equal">
      <formula>"PASS"</formula>
    </cfRule>
    <cfRule type="cellIs" dxfId="304" priority="29" stopIfTrue="1" operator="equal">
      <formula>"FAIL"</formula>
    </cfRule>
  </conditionalFormatting>
  <conditionalFormatting sqref="L21">
    <cfRule type="cellIs" dxfId="303" priority="28" stopIfTrue="1" operator="equal">
      <formula>"PASS"</formula>
    </cfRule>
    <cfRule type="cellIs" dxfId="302" priority="27" stopIfTrue="1" operator="equal">
      <formula>"FAIL"</formula>
    </cfRule>
  </conditionalFormatting>
  <conditionalFormatting sqref="L23">
    <cfRule type="cellIs" dxfId="301" priority="26" stopIfTrue="1" operator="equal">
      <formula>"PASS"</formula>
    </cfRule>
    <cfRule type="cellIs" dxfId="300" priority="25" stopIfTrue="1" operator="equal">
      <formula>"FAIL"</formula>
    </cfRule>
  </conditionalFormatting>
  <conditionalFormatting sqref="L25">
    <cfRule type="cellIs" dxfId="299" priority="24" stopIfTrue="1" operator="equal">
      <formula>"PASS"</formula>
    </cfRule>
    <cfRule type="cellIs" dxfId="298" priority="23" stopIfTrue="1" operator="equal">
      <formula>"FAIL"</formula>
    </cfRule>
  </conditionalFormatting>
  <conditionalFormatting sqref="L27">
    <cfRule type="cellIs" dxfId="297" priority="22" stopIfTrue="1" operator="equal">
      <formula>"PASS"</formula>
    </cfRule>
    <cfRule type="cellIs" dxfId="296" priority="21" stopIfTrue="1" operator="equal">
      <formula>"FAIL"</formula>
    </cfRule>
  </conditionalFormatting>
  <conditionalFormatting sqref="L29">
    <cfRule type="cellIs" dxfId="295" priority="20" stopIfTrue="1" operator="equal">
      <formula>"PASS"</formula>
    </cfRule>
    <cfRule type="cellIs" dxfId="294" priority="19" stopIfTrue="1" operator="equal">
      <formula>"FAIL"</formula>
    </cfRule>
  </conditionalFormatting>
  <conditionalFormatting sqref="L31">
    <cfRule type="cellIs" dxfId="293" priority="18" stopIfTrue="1" operator="equal">
      <formula>"PASS"</formula>
    </cfRule>
    <cfRule type="cellIs" dxfId="292" priority="17" stopIfTrue="1" operator="equal">
      <formula>"FAIL"</formula>
    </cfRule>
  </conditionalFormatting>
  <conditionalFormatting sqref="L33">
    <cfRule type="cellIs" dxfId="291" priority="16" stopIfTrue="1" operator="equal">
      <formula>"PASS"</formula>
    </cfRule>
    <cfRule type="cellIs" dxfId="290" priority="15" stopIfTrue="1" operator="equal">
      <formula>"FAIL"</formula>
    </cfRule>
  </conditionalFormatting>
  <conditionalFormatting sqref="L35">
    <cfRule type="cellIs" dxfId="289" priority="14" stopIfTrue="1" operator="equal">
      <formula>"PASS"</formula>
    </cfRule>
    <cfRule type="cellIs" dxfId="288" priority="13" stopIfTrue="1" operator="equal">
      <formula>"FAIL"</formula>
    </cfRule>
  </conditionalFormatting>
  <conditionalFormatting sqref="L37">
    <cfRule type="cellIs" dxfId="287" priority="12" stopIfTrue="1" operator="equal">
      <formula>"PASS"</formula>
    </cfRule>
    <cfRule type="cellIs" dxfId="286" priority="11" stopIfTrue="1" operator="equal">
      <formula>"FAIL"</formula>
    </cfRule>
  </conditionalFormatting>
  <conditionalFormatting sqref="L39">
    <cfRule type="cellIs" dxfId="285" priority="10" stopIfTrue="1" operator="equal">
      <formula>"PASS"</formula>
    </cfRule>
    <cfRule type="cellIs" dxfId="284" priority="9" stopIfTrue="1" operator="equal">
      <formula>"FAIL"</formula>
    </cfRule>
  </conditionalFormatting>
  <conditionalFormatting sqref="L41">
    <cfRule type="cellIs" dxfId="283" priority="8" stopIfTrue="1" operator="equal">
      <formula>"PASS"</formula>
    </cfRule>
    <cfRule type="cellIs" dxfId="282" priority="7" stopIfTrue="1" operator="equal">
      <formula>"FAIL"</formula>
    </cfRule>
  </conditionalFormatting>
  <conditionalFormatting sqref="L43">
    <cfRule type="cellIs" dxfId="281" priority="6" stopIfTrue="1" operator="equal">
      <formula>"PASS"</formula>
    </cfRule>
    <cfRule type="cellIs" dxfId="280" priority="5" stopIfTrue="1" operator="equal">
      <formula>"FAIL"</formula>
    </cfRule>
  </conditionalFormatting>
  <conditionalFormatting sqref="L45">
    <cfRule type="cellIs" dxfId="279" priority="4" stopIfTrue="1" operator="equal">
      <formula>"PASS"</formula>
    </cfRule>
    <cfRule type="cellIs" dxfId="278" priority="3" stopIfTrue="1" operator="equal">
      <formula>"FAIL"</formula>
    </cfRule>
  </conditionalFormatting>
  <conditionalFormatting sqref="L49:L51 L57:L63">
    <cfRule type="cellIs" dxfId="277" priority="45" stopIfTrue="1" operator="equal">
      <formula>"FAIL"</formula>
    </cfRule>
    <cfRule type="cellIs" dxfId="276"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09569"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7FC1247D-4CF2-4A43-9AF0-42F0C2448BD0}">
          <x14:formula1>
            <xm:f>'Worksheet Instructions'!H$16:H$29</xm:f>
          </x14:formula1>
          <xm:sqref>M3:M46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3DB3-536B-41CE-A42E-AE0C62D58122}">
  <dimension ref="A1:M124"/>
  <sheetViews>
    <sheetView topLeftCell="A2" zoomScale="85" zoomScaleNormal="85" zoomScaleSheetLayoutView="100"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43">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H36"/>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43">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275" priority="44" stopIfTrue="1" operator="equal">
      <formula>"PASS"</formula>
    </cfRule>
    <cfRule type="cellIs" dxfId="274" priority="43" stopIfTrue="1" operator="equal">
      <formula>"FAIL"</formula>
    </cfRule>
  </conditionalFormatting>
  <conditionalFormatting sqref="L3 L5">
    <cfRule type="cellIs" dxfId="273" priority="42" stopIfTrue="1" operator="equal">
      <formula>"PASS"</formula>
    </cfRule>
    <cfRule type="cellIs" dxfId="272" priority="41" stopIfTrue="1" operator="equal">
      <formula>"FAIL"</formula>
    </cfRule>
  </conditionalFormatting>
  <conditionalFormatting sqref="L7">
    <cfRule type="cellIs" dxfId="271" priority="1" stopIfTrue="1" operator="equal">
      <formula>"FAIL"</formula>
    </cfRule>
    <cfRule type="cellIs" dxfId="270" priority="2" stopIfTrue="1" operator="equal">
      <formula>"PASS"</formula>
    </cfRule>
  </conditionalFormatting>
  <conditionalFormatting sqref="L9">
    <cfRule type="cellIs" dxfId="269" priority="40" stopIfTrue="1" operator="equal">
      <formula>"PASS"</formula>
    </cfRule>
    <cfRule type="cellIs" dxfId="268" priority="39" stopIfTrue="1" operator="equal">
      <formula>"FAIL"</formula>
    </cfRule>
  </conditionalFormatting>
  <conditionalFormatting sqref="L11">
    <cfRule type="cellIs" dxfId="267" priority="38" stopIfTrue="1" operator="equal">
      <formula>"PASS"</formula>
    </cfRule>
    <cfRule type="cellIs" dxfId="266" priority="37" stopIfTrue="1" operator="equal">
      <formula>"FAIL"</formula>
    </cfRule>
  </conditionalFormatting>
  <conditionalFormatting sqref="L13">
    <cfRule type="cellIs" dxfId="265" priority="36" stopIfTrue="1" operator="equal">
      <formula>"PASS"</formula>
    </cfRule>
    <cfRule type="cellIs" dxfId="264" priority="35" stopIfTrue="1" operator="equal">
      <formula>"FAIL"</formula>
    </cfRule>
  </conditionalFormatting>
  <conditionalFormatting sqref="L15">
    <cfRule type="cellIs" dxfId="263" priority="34" stopIfTrue="1" operator="equal">
      <formula>"PASS"</formula>
    </cfRule>
    <cfRule type="cellIs" dxfId="262" priority="33" stopIfTrue="1" operator="equal">
      <formula>"FAIL"</formula>
    </cfRule>
  </conditionalFormatting>
  <conditionalFormatting sqref="L17">
    <cfRule type="cellIs" dxfId="261" priority="32" stopIfTrue="1" operator="equal">
      <formula>"PASS"</formula>
    </cfRule>
    <cfRule type="cellIs" dxfId="260" priority="31" stopIfTrue="1" operator="equal">
      <formula>"FAIL"</formula>
    </cfRule>
  </conditionalFormatting>
  <conditionalFormatting sqref="L19">
    <cfRule type="cellIs" dxfId="259" priority="30" stopIfTrue="1" operator="equal">
      <formula>"PASS"</formula>
    </cfRule>
    <cfRule type="cellIs" dxfId="258" priority="29" stopIfTrue="1" operator="equal">
      <formula>"FAIL"</formula>
    </cfRule>
  </conditionalFormatting>
  <conditionalFormatting sqref="L21">
    <cfRule type="cellIs" dxfId="257" priority="28" stopIfTrue="1" operator="equal">
      <formula>"PASS"</formula>
    </cfRule>
    <cfRule type="cellIs" dxfId="256" priority="27" stopIfTrue="1" operator="equal">
      <formula>"FAIL"</formula>
    </cfRule>
  </conditionalFormatting>
  <conditionalFormatting sqref="L23">
    <cfRule type="cellIs" dxfId="255" priority="26" stopIfTrue="1" operator="equal">
      <formula>"PASS"</formula>
    </cfRule>
    <cfRule type="cellIs" dxfId="254" priority="25" stopIfTrue="1" operator="equal">
      <formula>"FAIL"</formula>
    </cfRule>
  </conditionalFormatting>
  <conditionalFormatting sqref="L25">
    <cfRule type="cellIs" dxfId="253" priority="24" stopIfTrue="1" operator="equal">
      <formula>"PASS"</formula>
    </cfRule>
    <cfRule type="cellIs" dxfId="252" priority="23" stopIfTrue="1" operator="equal">
      <formula>"FAIL"</formula>
    </cfRule>
  </conditionalFormatting>
  <conditionalFormatting sqref="L27">
    <cfRule type="cellIs" dxfId="251" priority="22" stopIfTrue="1" operator="equal">
      <formula>"PASS"</formula>
    </cfRule>
    <cfRule type="cellIs" dxfId="250" priority="21" stopIfTrue="1" operator="equal">
      <formula>"FAIL"</formula>
    </cfRule>
  </conditionalFormatting>
  <conditionalFormatting sqref="L29">
    <cfRule type="cellIs" dxfId="249" priority="20" stopIfTrue="1" operator="equal">
      <formula>"PASS"</formula>
    </cfRule>
    <cfRule type="cellIs" dxfId="248" priority="19" stopIfTrue="1" operator="equal">
      <formula>"FAIL"</formula>
    </cfRule>
  </conditionalFormatting>
  <conditionalFormatting sqref="L31">
    <cfRule type="cellIs" dxfId="247" priority="18" stopIfTrue="1" operator="equal">
      <formula>"PASS"</formula>
    </cfRule>
    <cfRule type="cellIs" dxfId="246" priority="17" stopIfTrue="1" operator="equal">
      <formula>"FAIL"</formula>
    </cfRule>
  </conditionalFormatting>
  <conditionalFormatting sqref="L33">
    <cfRule type="cellIs" dxfId="245" priority="16" stopIfTrue="1" operator="equal">
      <formula>"PASS"</formula>
    </cfRule>
    <cfRule type="cellIs" dxfId="244" priority="15" stopIfTrue="1" operator="equal">
      <formula>"FAIL"</formula>
    </cfRule>
  </conditionalFormatting>
  <conditionalFormatting sqref="L35">
    <cfRule type="cellIs" dxfId="243" priority="14" stopIfTrue="1" operator="equal">
      <formula>"PASS"</formula>
    </cfRule>
    <cfRule type="cellIs" dxfId="242" priority="13" stopIfTrue="1" operator="equal">
      <formula>"FAIL"</formula>
    </cfRule>
  </conditionalFormatting>
  <conditionalFormatting sqref="L37">
    <cfRule type="cellIs" dxfId="241" priority="12" stopIfTrue="1" operator="equal">
      <formula>"PASS"</formula>
    </cfRule>
    <cfRule type="cellIs" dxfId="240" priority="11" stopIfTrue="1" operator="equal">
      <formula>"FAIL"</formula>
    </cfRule>
  </conditionalFormatting>
  <conditionalFormatting sqref="L39">
    <cfRule type="cellIs" dxfId="239" priority="10" stopIfTrue="1" operator="equal">
      <formula>"PASS"</formula>
    </cfRule>
    <cfRule type="cellIs" dxfId="238" priority="9" stopIfTrue="1" operator="equal">
      <formula>"FAIL"</formula>
    </cfRule>
  </conditionalFormatting>
  <conditionalFormatting sqref="L41">
    <cfRule type="cellIs" dxfId="237" priority="8" stopIfTrue="1" operator="equal">
      <formula>"PASS"</formula>
    </cfRule>
    <cfRule type="cellIs" dxfId="236" priority="7" stopIfTrue="1" operator="equal">
      <formula>"FAIL"</formula>
    </cfRule>
  </conditionalFormatting>
  <conditionalFormatting sqref="L43">
    <cfRule type="cellIs" dxfId="235" priority="6" stopIfTrue="1" operator="equal">
      <formula>"PASS"</formula>
    </cfRule>
    <cfRule type="cellIs" dxfId="234" priority="5" stopIfTrue="1" operator="equal">
      <formula>"FAIL"</formula>
    </cfRule>
  </conditionalFormatting>
  <conditionalFormatting sqref="L45">
    <cfRule type="cellIs" dxfId="233" priority="4" stopIfTrue="1" operator="equal">
      <formula>"PASS"</formula>
    </cfRule>
    <cfRule type="cellIs" dxfId="232" priority="3" stopIfTrue="1" operator="equal">
      <formula>"FAIL"</formula>
    </cfRule>
  </conditionalFormatting>
  <conditionalFormatting sqref="L49:L51 L57:L63">
    <cfRule type="cellIs" dxfId="231" priority="45" stopIfTrue="1" operator="equal">
      <formula>"FAIL"</formula>
    </cfRule>
    <cfRule type="cellIs" dxfId="230"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10593"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FCEAD37C-4460-43B9-B591-E50F0B9A81E5}">
          <x14:formula1>
            <xm:f>'Worksheet Instructions'!H$16:H$29</xm:f>
          </x14:formula1>
          <xm:sqref>M3:M46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F46D-8A84-46C5-91FD-A649A95DF2B8}">
  <dimension ref="A1:M124"/>
  <sheetViews>
    <sheetView zoomScale="85" zoomScaleNormal="85" zoomScaleSheetLayoutView="100"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3">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3">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229" priority="44" stopIfTrue="1" operator="equal">
      <formula>"PASS"</formula>
    </cfRule>
    <cfRule type="cellIs" dxfId="228" priority="43" stopIfTrue="1" operator="equal">
      <formula>"FAIL"</formula>
    </cfRule>
  </conditionalFormatting>
  <conditionalFormatting sqref="L3 L5">
    <cfRule type="cellIs" dxfId="227" priority="42" stopIfTrue="1" operator="equal">
      <formula>"PASS"</formula>
    </cfRule>
    <cfRule type="cellIs" dxfId="226" priority="41" stopIfTrue="1" operator="equal">
      <formula>"FAIL"</formula>
    </cfRule>
  </conditionalFormatting>
  <conditionalFormatting sqref="L7">
    <cfRule type="cellIs" dxfId="225" priority="1" stopIfTrue="1" operator="equal">
      <formula>"FAIL"</formula>
    </cfRule>
    <cfRule type="cellIs" dxfId="224" priority="2" stopIfTrue="1" operator="equal">
      <formula>"PASS"</formula>
    </cfRule>
  </conditionalFormatting>
  <conditionalFormatting sqref="L9">
    <cfRule type="cellIs" dxfId="223" priority="40" stopIfTrue="1" operator="equal">
      <formula>"PASS"</formula>
    </cfRule>
    <cfRule type="cellIs" dxfId="222" priority="39" stopIfTrue="1" operator="equal">
      <formula>"FAIL"</formula>
    </cfRule>
  </conditionalFormatting>
  <conditionalFormatting sqref="L11">
    <cfRule type="cellIs" dxfId="221" priority="38" stopIfTrue="1" operator="equal">
      <formula>"PASS"</formula>
    </cfRule>
    <cfRule type="cellIs" dxfId="220" priority="37" stopIfTrue="1" operator="equal">
      <formula>"FAIL"</formula>
    </cfRule>
  </conditionalFormatting>
  <conditionalFormatting sqref="L13">
    <cfRule type="cellIs" dxfId="219" priority="36" stopIfTrue="1" operator="equal">
      <formula>"PASS"</formula>
    </cfRule>
    <cfRule type="cellIs" dxfId="218" priority="35" stopIfTrue="1" operator="equal">
      <formula>"FAIL"</formula>
    </cfRule>
  </conditionalFormatting>
  <conditionalFormatting sqref="L15">
    <cfRule type="cellIs" dxfId="217" priority="34" stopIfTrue="1" operator="equal">
      <formula>"PASS"</formula>
    </cfRule>
    <cfRule type="cellIs" dxfId="216" priority="33" stopIfTrue="1" operator="equal">
      <formula>"FAIL"</formula>
    </cfRule>
  </conditionalFormatting>
  <conditionalFormatting sqref="L17">
    <cfRule type="cellIs" dxfId="215" priority="32" stopIfTrue="1" operator="equal">
      <formula>"PASS"</formula>
    </cfRule>
    <cfRule type="cellIs" dxfId="214" priority="31" stopIfTrue="1" operator="equal">
      <formula>"FAIL"</formula>
    </cfRule>
  </conditionalFormatting>
  <conditionalFormatting sqref="L19">
    <cfRule type="cellIs" dxfId="213" priority="30" stopIfTrue="1" operator="equal">
      <formula>"PASS"</formula>
    </cfRule>
    <cfRule type="cellIs" dxfId="212" priority="29" stopIfTrue="1" operator="equal">
      <formula>"FAIL"</formula>
    </cfRule>
  </conditionalFormatting>
  <conditionalFormatting sqref="L21">
    <cfRule type="cellIs" dxfId="211" priority="28" stopIfTrue="1" operator="equal">
      <formula>"PASS"</formula>
    </cfRule>
    <cfRule type="cellIs" dxfId="210" priority="27" stopIfTrue="1" operator="equal">
      <formula>"FAIL"</formula>
    </cfRule>
  </conditionalFormatting>
  <conditionalFormatting sqref="L23">
    <cfRule type="cellIs" dxfId="209" priority="26" stopIfTrue="1" operator="equal">
      <formula>"PASS"</formula>
    </cfRule>
    <cfRule type="cellIs" dxfId="208" priority="25" stopIfTrue="1" operator="equal">
      <formula>"FAIL"</formula>
    </cfRule>
  </conditionalFormatting>
  <conditionalFormatting sqref="L25">
    <cfRule type="cellIs" dxfId="207" priority="24" stopIfTrue="1" operator="equal">
      <formula>"PASS"</formula>
    </cfRule>
    <cfRule type="cellIs" dxfId="206" priority="23" stopIfTrue="1" operator="equal">
      <formula>"FAIL"</formula>
    </cfRule>
  </conditionalFormatting>
  <conditionalFormatting sqref="L27">
    <cfRule type="cellIs" dxfId="205" priority="22" stopIfTrue="1" operator="equal">
      <formula>"PASS"</formula>
    </cfRule>
    <cfRule type="cellIs" dxfId="204" priority="21" stopIfTrue="1" operator="equal">
      <formula>"FAIL"</formula>
    </cfRule>
  </conditionalFormatting>
  <conditionalFormatting sqref="L29">
    <cfRule type="cellIs" dxfId="203" priority="20" stopIfTrue="1" operator="equal">
      <formula>"PASS"</formula>
    </cfRule>
    <cfRule type="cellIs" dxfId="202" priority="19" stopIfTrue="1" operator="equal">
      <formula>"FAIL"</formula>
    </cfRule>
  </conditionalFormatting>
  <conditionalFormatting sqref="L31">
    <cfRule type="cellIs" dxfId="201" priority="18" stopIfTrue="1" operator="equal">
      <formula>"PASS"</formula>
    </cfRule>
    <cfRule type="cellIs" dxfId="200" priority="17" stopIfTrue="1" operator="equal">
      <formula>"FAIL"</formula>
    </cfRule>
  </conditionalFormatting>
  <conditionalFormatting sqref="L33">
    <cfRule type="cellIs" dxfId="199" priority="16" stopIfTrue="1" operator="equal">
      <formula>"PASS"</formula>
    </cfRule>
    <cfRule type="cellIs" dxfId="198" priority="15" stopIfTrue="1" operator="equal">
      <formula>"FAIL"</formula>
    </cfRule>
  </conditionalFormatting>
  <conditionalFormatting sqref="L35">
    <cfRule type="cellIs" dxfId="197" priority="14" stopIfTrue="1" operator="equal">
      <formula>"PASS"</formula>
    </cfRule>
    <cfRule type="cellIs" dxfId="196" priority="13" stopIfTrue="1" operator="equal">
      <formula>"FAIL"</formula>
    </cfRule>
  </conditionalFormatting>
  <conditionalFormatting sqref="L37">
    <cfRule type="cellIs" dxfId="195" priority="12" stopIfTrue="1" operator="equal">
      <formula>"PASS"</formula>
    </cfRule>
    <cfRule type="cellIs" dxfId="194" priority="11" stopIfTrue="1" operator="equal">
      <formula>"FAIL"</formula>
    </cfRule>
  </conditionalFormatting>
  <conditionalFormatting sqref="L39">
    <cfRule type="cellIs" dxfId="193" priority="10" stopIfTrue="1" operator="equal">
      <formula>"PASS"</formula>
    </cfRule>
    <cfRule type="cellIs" dxfId="192" priority="9" stopIfTrue="1" operator="equal">
      <formula>"FAIL"</formula>
    </cfRule>
  </conditionalFormatting>
  <conditionalFormatting sqref="L41">
    <cfRule type="cellIs" dxfId="191" priority="8" stopIfTrue="1" operator="equal">
      <formula>"PASS"</formula>
    </cfRule>
    <cfRule type="cellIs" dxfId="190" priority="7" stopIfTrue="1" operator="equal">
      <formula>"FAIL"</formula>
    </cfRule>
  </conditionalFormatting>
  <conditionalFormatting sqref="L43">
    <cfRule type="cellIs" dxfId="189" priority="6" stopIfTrue="1" operator="equal">
      <formula>"PASS"</formula>
    </cfRule>
    <cfRule type="cellIs" dxfId="188" priority="5" stopIfTrue="1" operator="equal">
      <formula>"FAIL"</formula>
    </cfRule>
  </conditionalFormatting>
  <conditionalFormatting sqref="L45">
    <cfRule type="cellIs" dxfId="187" priority="4" stopIfTrue="1" operator="equal">
      <formula>"PASS"</formula>
    </cfRule>
    <cfRule type="cellIs" dxfId="186" priority="3" stopIfTrue="1" operator="equal">
      <formula>"FAIL"</formula>
    </cfRule>
  </conditionalFormatting>
  <conditionalFormatting sqref="L49:L51 L57:L63">
    <cfRule type="cellIs" dxfId="185" priority="45" stopIfTrue="1" operator="equal">
      <formula>"FAIL"</formula>
    </cfRule>
    <cfRule type="cellIs" dxfId="184"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11617"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27C85436-C576-47E8-B7EF-02F12AAB7C2B}">
          <x14:formula1>
            <xm:f>'Worksheet Instructions'!H$16:H$29</xm:f>
          </x14:formula1>
          <xm:sqref>M3:M46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9C1C-3FFD-4E04-A6A9-F20611D5EDCF}">
  <dimension ref="A1:M124"/>
  <sheetViews>
    <sheetView zoomScale="85" zoomScaleNormal="85" zoomScaleSheetLayoutView="100"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10">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10">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183" priority="44" stopIfTrue="1" operator="equal">
      <formula>"PASS"</formula>
    </cfRule>
    <cfRule type="cellIs" dxfId="182" priority="43" stopIfTrue="1" operator="equal">
      <formula>"FAIL"</formula>
    </cfRule>
  </conditionalFormatting>
  <conditionalFormatting sqref="L3 L5">
    <cfRule type="cellIs" dxfId="181" priority="42" stopIfTrue="1" operator="equal">
      <formula>"PASS"</formula>
    </cfRule>
    <cfRule type="cellIs" dxfId="180" priority="41" stopIfTrue="1" operator="equal">
      <formula>"FAIL"</formula>
    </cfRule>
  </conditionalFormatting>
  <conditionalFormatting sqref="L7">
    <cfRule type="cellIs" dxfId="179" priority="1" stopIfTrue="1" operator="equal">
      <formula>"FAIL"</formula>
    </cfRule>
    <cfRule type="cellIs" dxfId="178" priority="2" stopIfTrue="1" operator="equal">
      <formula>"PASS"</formula>
    </cfRule>
  </conditionalFormatting>
  <conditionalFormatting sqref="L9">
    <cfRule type="cellIs" dxfId="177" priority="40" stopIfTrue="1" operator="equal">
      <formula>"PASS"</formula>
    </cfRule>
    <cfRule type="cellIs" dxfId="176" priority="39" stopIfTrue="1" operator="equal">
      <formula>"FAIL"</formula>
    </cfRule>
  </conditionalFormatting>
  <conditionalFormatting sqref="L11">
    <cfRule type="cellIs" dxfId="175" priority="38" stopIfTrue="1" operator="equal">
      <formula>"PASS"</formula>
    </cfRule>
    <cfRule type="cellIs" dxfId="174" priority="37" stopIfTrue="1" operator="equal">
      <formula>"FAIL"</formula>
    </cfRule>
  </conditionalFormatting>
  <conditionalFormatting sqref="L13">
    <cfRule type="cellIs" dxfId="173" priority="36" stopIfTrue="1" operator="equal">
      <formula>"PASS"</formula>
    </cfRule>
    <cfRule type="cellIs" dxfId="172" priority="35" stopIfTrue="1" operator="equal">
      <formula>"FAIL"</formula>
    </cfRule>
  </conditionalFormatting>
  <conditionalFormatting sqref="L15">
    <cfRule type="cellIs" dxfId="171" priority="34" stopIfTrue="1" operator="equal">
      <formula>"PASS"</formula>
    </cfRule>
    <cfRule type="cellIs" dxfId="170" priority="33" stopIfTrue="1" operator="equal">
      <formula>"FAIL"</formula>
    </cfRule>
  </conditionalFormatting>
  <conditionalFormatting sqref="L17">
    <cfRule type="cellIs" dxfId="169" priority="32" stopIfTrue="1" operator="equal">
      <formula>"PASS"</formula>
    </cfRule>
    <cfRule type="cellIs" dxfId="168" priority="31" stopIfTrue="1" operator="equal">
      <formula>"FAIL"</formula>
    </cfRule>
  </conditionalFormatting>
  <conditionalFormatting sqref="L19">
    <cfRule type="cellIs" dxfId="167" priority="30" stopIfTrue="1" operator="equal">
      <formula>"PASS"</formula>
    </cfRule>
    <cfRule type="cellIs" dxfId="166" priority="29" stopIfTrue="1" operator="equal">
      <formula>"FAIL"</formula>
    </cfRule>
  </conditionalFormatting>
  <conditionalFormatting sqref="L21">
    <cfRule type="cellIs" dxfId="165" priority="28" stopIfTrue="1" operator="equal">
      <formula>"PASS"</formula>
    </cfRule>
    <cfRule type="cellIs" dxfId="164" priority="27" stopIfTrue="1" operator="equal">
      <formula>"FAIL"</formula>
    </cfRule>
  </conditionalFormatting>
  <conditionalFormatting sqref="L23">
    <cfRule type="cellIs" dxfId="163" priority="26" stopIfTrue="1" operator="equal">
      <formula>"PASS"</formula>
    </cfRule>
    <cfRule type="cellIs" dxfId="162" priority="25" stopIfTrue="1" operator="equal">
      <formula>"FAIL"</formula>
    </cfRule>
  </conditionalFormatting>
  <conditionalFormatting sqref="L25">
    <cfRule type="cellIs" dxfId="161" priority="24" stopIfTrue="1" operator="equal">
      <formula>"PASS"</formula>
    </cfRule>
    <cfRule type="cellIs" dxfId="160" priority="23" stopIfTrue="1" operator="equal">
      <formula>"FAIL"</formula>
    </cfRule>
  </conditionalFormatting>
  <conditionalFormatting sqref="L27">
    <cfRule type="cellIs" dxfId="159" priority="22" stopIfTrue="1" operator="equal">
      <formula>"PASS"</formula>
    </cfRule>
    <cfRule type="cellIs" dxfId="158" priority="21" stopIfTrue="1" operator="equal">
      <formula>"FAIL"</formula>
    </cfRule>
  </conditionalFormatting>
  <conditionalFormatting sqref="L29">
    <cfRule type="cellIs" dxfId="157" priority="20" stopIfTrue="1" operator="equal">
      <formula>"PASS"</formula>
    </cfRule>
    <cfRule type="cellIs" dxfId="156" priority="19" stopIfTrue="1" operator="equal">
      <formula>"FAIL"</formula>
    </cfRule>
  </conditionalFormatting>
  <conditionalFormatting sqref="L31">
    <cfRule type="cellIs" dxfId="155" priority="18" stopIfTrue="1" operator="equal">
      <formula>"PASS"</formula>
    </cfRule>
    <cfRule type="cellIs" dxfId="154" priority="17" stopIfTrue="1" operator="equal">
      <formula>"FAIL"</formula>
    </cfRule>
  </conditionalFormatting>
  <conditionalFormatting sqref="L33">
    <cfRule type="cellIs" dxfId="153" priority="16" stopIfTrue="1" operator="equal">
      <formula>"PASS"</formula>
    </cfRule>
    <cfRule type="cellIs" dxfId="152" priority="15" stopIfTrue="1" operator="equal">
      <formula>"FAIL"</formula>
    </cfRule>
  </conditionalFormatting>
  <conditionalFormatting sqref="L35">
    <cfRule type="cellIs" dxfId="151" priority="14" stopIfTrue="1" operator="equal">
      <formula>"PASS"</formula>
    </cfRule>
    <cfRule type="cellIs" dxfId="150" priority="13" stopIfTrue="1" operator="equal">
      <formula>"FAIL"</formula>
    </cfRule>
  </conditionalFormatting>
  <conditionalFormatting sqref="L37">
    <cfRule type="cellIs" dxfId="149" priority="12" stopIfTrue="1" operator="equal">
      <formula>"PASS"</formula>
    </cfRule>
    <cfRule type="cellIs" dxfId="148" priority="11" stopIfTrue="1" operator="equal">
      <formula>"FAIL"</formula>
    </cfRule>
  </conditionalFormatting>
  <conditionalFormatting sqref="L39">
    <cfRule type="cellIs" dxfId="147" priority="10" stopIfTrue="1" operator="equal">
      <formula>"PASS"</formula>
    </cfRule>
    <cfRule type="cellIs" dxfId="146" priority="9" stopIfTrue="1" operator="equal">
      <formula>"FAIL"</formula>
    </cfRule>
  </conditionalFormatting>
  <conditionalFormatting sqref="L41">
    <cfRule type="cellIs" dxfId="145" priority="8" stopIfTrue="1" operator="equal">
      <formula>"PASS"</formula>
    </cfRule>
    <cfRule type="cellIs" dxfId="144" priority="7" stopIfTrue="1" operator="equal">
      <formula>"FAIL"</formula>
    </cfRule>
  </conditionalFormatting>
  <conditionalFormatting sqref="L43">
    <cfRule type="cellIs" dxfId="143" priority="6" stopIfTrue="1" operator="equal">
      <formula>"PASS"</formula>
    </cfRule>
    <cfRule type="cellIs" dxfId="142" priority="5" stopIfTrue="1" operator="equal">
      <formula>"FAIL"</formula>
    </cfRule>
  </conditionalFormatting>
  <conditionalFormatting sqref="L45">
    <cfRule type="cellIs" dxfId="141" priority="4" stopIfTrue="1" operator="equal">
      <formula>"PASS"</formula>
    </cfRule>
    <cfRule type="cellIs" dxfId="140" priority="3" stopIfTrue="1" operator="equal">
      <formula>"FAIL"</formula>
    </cfRule>
  </conditionalFormatting>
  <conditionalFormatting sqref="L49:L51 L57:L63">
    <cfRule type="cellIs" dxfId="139" priority="45" stopIfTrue="1" operator="equal">
      <formula>"FAIL"</formula>
    </cfRule>
    <cfRule type="cellIs" dxfId="138"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12641"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5816DF08-09EE-41F9-961F-C7DD426BDE9A}">
          <x14:formula1>
            <xm:f>'Worksheet Instructions'!H$16:H$29</xm:f>
          </x14:formula1>
          <xm:sqref>M3:M46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F1783-AF71-42F3-94BB-00515AAD4B8A}">
  <dimension ref="A1:M124"/>
  <sheetViews>
    <sheetView zoomScale="85" zoomScaleNormal="85" zoomScaleSheetLayoutView="85"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4">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4">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137" priority="44" stopIfTrue="1" operator="equal">
      <formula>"PASS"</formula>
    </cfRule>
    <cfRule type="cellIs" dxfId="136" priority="43" stopIfTrue="1" operator="equal">
      <formula>"FAIL"</formula>
    </cfRule>
  </conditionalFormatting>
  <conditionalFormatting sqref="L3 L5">
    <cfRule type="cellIs" dxfId="135" priority="42" stopIfTrue="1" operator="equal">
      <formula>"PASS"</formula>
    </cfRule>
    <cfRule type="cellIs" dxfId="134" priority="41" stopIfTrue="1" operator="equal">
      <formula>"FAIL"</formula>
    </cfRule>
  </conditionalFormatting>
  <conditionalFormatting sqref="L7">
    <cfRule type="cellIs" dxfId="133" priority="1" stopIfTrue="1" operator="equal">
      <formula>"FAIL"</formula>
    </cfRule>
    <cfRule type="cellIs" dxfId="132" priority="2" stopIfTrue="1" operator="equal">
      <formula>"PASS"</formula>
    </cfRule>
  </conditionalFormatting>
  <conditionalFormatting sqref="L9">
    <cfRule type="cellIs" dxfId="131" priority="40" stopIfTrue="1" operator="equal">
      <formula>"PASS"</formula>
    </cfRule>
    <cfRule type="cellIs" dxfId="130" priority="39" stopIfTrue="1" operator="equal">
      <formula>"FAIL"</formula>
    </cfRule>
  </conditionalFormatting>
  <conditionalFormatting sqref="L11">
    <cfRule type="cellIs" dxfId="129" priority="38" stopIfTrue="1" operator="equal">
      <formula>"PASS"</formula>
    </cfRule>
    <cfRule type="cellIs" dxfId="128" priority="37" stopIfTrue="1" operator="equal">
      <formula>"FAIL"</formula>
    </cfRule>
  </conditionalFormatting>
  <conditionalFormatting sqref="L13">
    <cfRule type="cellIs" dxfId="127" priority="36" stopIfTrue="1" operator="equal">
      <formula>"PASS"</formula>
    </cfRule>
    <cfRule type="cellIs" dxfId="126" priority="35" stopIfTrue="1" operator="equal">
      <formula>"FAIL"</formula>
    </cfRule>
  </conditionalFormatting>
  <conditionalFormatting sqref="L15">
    <cfRule type="cellIs" dxfId="125" priority="34" stopIfTrue="1" operator="equal">
      <formula>"PASS"</formula>
    </cfRule>
    <cfRule type="cellIs" dxfId="124" priority="33" stopIfTrue="1" operator="equal">
      <formula>"FAIL"</formula>
    </cfRule>
  </conditionalFormatting>
  <conditionalFormatting sqref="L17">
    <cfRule type="cellIs" dxfId="123" priority="32" stopIfTrue="1" operator="equal">
      <formula>"PASS"</formula>
    </cfRule>
    <cfRule type="cellIs" dxfId="122" priority="31" stopIfTrue="1" operator="equal">
      <formula>"FAIL"</formula>
    </cfRule>
  </conditionalFormatting>
  <conditionalFormatting sqref="L19">
    <cfRule type="cellIs" dxfId="121" priority="30" stopIfTrue="1" operator="equal">
      <formula>"PASS"</formula>
    </cfRule>
    <cfRule type="cellIs" dxfId="120" priority="29" stopIfTrue="1" operator="equal">
      <formula>"FAIL"</formula>
    </cfRule>
  </conditionalFormatting>
  <conditionalFormatting sqref="L21">
    <cfRule type="cellIs" dxfId="119" priority="28" stopIfTrue="1" operator="equal">
      <formula>"PASS"</formula>
    </cfRule>
    <cfRule type="cellIs" dxfId="118" priority="27" stopIfTrue="1" operator="equal">
      <formula>"FAIL"</formula>
    </cfRule>
  </conditionalFormatting>
  <conditionalFormatting sqref="L23">
    <cfRule type="cellIs" dxfId="117" priority="26" stopIfTrue="1" operator="equal">
      <formula>"PASS"</formula>
    </cfRule>
    <cfRule type="cellIs" dxfId="116" priority="25" stopIfTrue="1" operator="equal">
      <formula>"FAIL"</formula>
    </cfRule>
  </conditionalFormatting>
  <conditionalFormatting sqref="L25">
    <cfRule type="cellIs" dxfId="115" priority="24" stopIfTrue="1" operator="equal">
      <formula>"PASS"</formula>
    </cfRule>
    <cfRule type="cellIs" dxfId="114" priority="23" stopIfTrue="1" operator="equal">
      <formula>"FAIL"</formula>
    </cfRule>
  </conditionalFormatting>
  <conditionalFormatting sqref="L27">
    <cfRule type="cellIs" dxfId="113" priority="22" stopIfTrue="1" operator="equal">
      <formula>"PASS"</formula>
    </cfRule>
    <cfRule type="cellIs" dxfId="112" priority="21" stopIfTrue="1" operator="equal">
      <formula>"FAIL"</formula>
    </cfRule>
  </conditionalFormatting>
  <conditionalFormatting sqref="L29">
    <cfRule type="cellIs" dxfId="111" priority="20" stopIfTrue="1" operator="equal">
      <formula>"PASS"</formula>
    </cfRule>
    <cfRule type="cellIs" dxfId="110" priority="19" stopIfTrue="1" operator="equal">
      <formula>"FAIL"</formula>
    </cfRule>
  </conditionalFormatting>
  <conditionalFormatting sqref="L31">
    <cfRule type="cellIs" dxfId="109" priority="18" stopIfTrue="1" operator="equal">
      <formula>"PASS"</formula>
    </cfRule>
    <cfRule type="cellIs" dxfId="108" priority="17" stopIfTrue="1" operator="equal">
      <formula>"FAIL"</formula>
    </cfRule>
  </conditionalFormatting>
  <conditionalFormatting sqref="L33">
    <cfRule type="cellIs" dxfId="107" priority="16" stopIfTrue="1" operator="equal">
      <formula>"PASS"</formula>
    </cfRule>
    <cfRule type="cellIs" dxfId="106" priority="15" stopIfTrue="1" operator="equal">
      <formula>"FAIL"</formula>
    </cfRule>
  </conditionalFormatting>
  <conditionalFormatting sqref="L35">
    <cfRule type="cellIs" dxfId="105" priority="14" stopIfTrue="1" operator="equal">
      <formula>"PASS"</formula>
    </cfRule>
    <cfRule type="cellIs" dxfId="104" priority="13" stopIfTrue="1" operator="equal">
      <formula>"FAIL"</formula>
    </cfRule>
  </conditionalFormatting>
  <conditionalFormatting sqref="L37">
    <cfRule type="cellIs" dxfId="103" priority="12" stopIfTrue="1" operator="equal">
      <formula>"PASS"</formula>
    </cfRule>
    <cfRule type="cellIs" dxfId="102" priority="11" stopIfTrue="1" operator="equal">
      <formula>"FAIL"</formula>
    </cfRule>
  </conditionalFormatting>
  <conditionalFormatting sqref="L39">
    <cfRule type="cellIs" dxfId="101" priority="10" stopIfTrue="1" operator="equal">
      <formula>"PASS"</formula>
    </cfRule>
    <cfRule type="cellIs" dxfId="100" priority="9" stopIfTrue="1" operator="equal">
      <formula>"FAIL"</formula>
    </cfRule>
  </conditionalFormatting>
  <conditionalFormatting sqref="L41">
    <cfRule type="cellIs" dxfId="99" priority="8" stopIfTrue="1" operator="equal">
      <formula>"PASS"</formula>
    </cfRule>
    <cfRule type="cellIs" dxfId="98" priority="7" stopIfTrue="1" operator="equal">
      <formula>"FAIL"</formula>
    </cfRule>
  </conditionalFormatting>
  <conditionalFormatting sqref="L43">
    <cfRule type="cellIs" dxfId="97" priority="6" stopIfTrue="1" operator="equal">
      <formula>"PASS"</formula>
    </cfRule>
    <cfRule type="cellIs" dxfId="96" priority="5" stopIfTrue="1" operator="equal">
      <formula>"FAIL"</formula>
    </cfRule>
  </conditionalFormatting>
  <conditionalFormatting sqref="L45">
    <cfRule type="cellIs" dxfId="95" priority="4" stopIfTrue="1" operator="equal">
      <formula>"PASS"</formula>
    </cfRule>
    <cfRule type="cellIs" dxfId="94" priority="3" stopIfTrue="1" operator="equal">
      <formula>"FAIL"</formula>
    </cfRule>
  </conditionalFormatting>
  <conditionalFormatting sqref="L49:L51 L57:L63">
    <cfRule type="cellIs" dxfId="93" priority="45" stopIfTrue="1" operator="equal">
      <formula>"FAIL"</formula>
    </cfRule>
    <cfRule type="cellIs" dxfId="92"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13665"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137E6F67-BF24-4C43-A9E0-2EBD50FD8167}">
          <x14:formula1>
            <xm:f>'Worksheet Instructions'!H$16:H$29</xm:f>
          </x14:formula1>
          <xm:sqref>M3:M46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D2229-BBCA-44E5-B51C-9020ADDC256A}">
  <dimension ref="A1:M124"/>
  <sheetViews>
    <sheetView zoomScale="85" zoomScaleNormal="85" zoomScaleSheetLayoutView="85" workbookViewId="0">
      <selection activeCell="D10" sqref="D10:E11"/>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topLeftCell="A5">
      <selection activeCell="B6" sqref="B5:L8"/>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topLeftCell="A5">
      <selection activeCell="B6" sqref="B5:L8"/>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91" priority="44" stopIfTrue="1" operator="equal">
      <formula>"PASS"</formula>
    </cfRule>
    <cfRule type="cellIs" dxfId="90" priority="43" stopIfTrue="1" operator="equal">
      <formula>"FAIL"</formula>
    </cfRule>
  </conditionalFormatting>
  <conditionalFormatting sqref="L3 L5">
    <cfRule type="cellIs" dxfId="89" priority="42" stopIfTrue="1" operator="equal">
      <formula>"PASS"</formula>
    </cfRule>
    <cfRule type="cellIs" dxfId="88" priority="41" stopIfTrue="1" operator="equal">
      <formula>"FAIL"</formula>
    </cfRule>
  </conditionalFormatting>
  <conditionalFormatting sqref="L7">
    <cfRule type="cellIs" dxfId="87" priority="1" stopIfTrue="1" operator="equal">
      <formula>"FAIL"</formula>
    </cfRule>
    <cfRule type="cellIs" dxfId="86" priority="2" stopIfTrue="1" operator="equal">
      <formula>"PASS"</formula>
    </cfRule>
  </conditionalFormatting>
  <conditionalFormatting sqref="L9">
    <cfRule type="cellIs" dxfId="85" priority="40" stopIfTrue="1" operator="equal">
      <formula>"PASS"</formula>
    </cfRule>
    <cfRule type="cellIs" dxfId="84" priority="39" stopIfTrue="1" operator="equal">
      <formula>"FAIL"</formula>
    </cfRule>
  </conditionalFormatting>
  <conditionalFormatting sqref="L11">
    <cfRule type="cellIs" dxfId="83" priority="38" stopIfTrue="1" operator="equal">
      <formula>"PASS"</formula>
    </cfRule>
    <cfRule type="cellIs" dxfId="82" priority="37" stopIfTrue="1" operator="equal">
      <formula>"FAIL"</formula>
    </cfRule>
  </conditionalFormatting>
  <conditionalFormatting sqref="L13">
    <cfRule type="cellIs" dxfId="81" priority="36" stopIfTrue="1" operator="equal">
      <formula>"PASS"</formula>
    </cfRule>
    <cfRule type="cellIs" dxfId="80" priority="35" stopIfTrue="1" operator="equal">
      <formula>"FAIL"</formula>
    </cfRule>
  </conditionalFormatting>
  <conditionalFormatting sqref="L15">
    <cfRule type="cellIs" dxfId="79" priority="34" stopIfTrue="1" operator="equal">
      <formula>"PASS"</formula>
    </cfRule>
    <cfRule type="cellIs" dxfId="78" priority="33" stopIfTrue="1" operator="equal">
      <formula>"FAIL"</formula>
    </cfRule>
  </conditionalFormatting>
  <conditionalFormatting sqref="L17">
    <cfRule type="cellIs" dxfId="77" priority="32" stopIfTrue="1" operator="equal">
      <formula>"PASS"</formula>
    </cfRule>
    <cfRule type="cellIs" dxfId="76" priority="31" stopIfTrue="1" operator="equal">
      <formula>"FAIL"</formula>
    </cfRule>
  </conditionalFormatting>
  <conditionalFormatting sqref="L19">
    <cfRule type="cellIs" dxfId="75" priority="30" stopIfTrue="1" operator="equal">
      <formula>"PASS"</formula>
    </cfRule>
    <cfRule type="cellIs" dxfId="74" priority="29" stopIfTrue="1" operator="equal">
      <formula>"FAIL"</formula>
    </cfRule>
  </conditionalFormatting>
  <conditionalFormatting sqref="L21">
    <cfRule type="cellIs" dxfId="73" priority="28" stopIfTrue="1" operator="equal">
      <formula>"PASS"</formula>
    </cfRule>
    <cfRule type="cellIs" dxfId="72" priority="27" stopIfTrue="1" operator="equal">
      <formula>"FAIL"</formula>
    </cfRule>
  </conditionalFormatting>
  <conditionalFormatting sqref="L23">
    <cfRule type="cellIs" dxfId="71" priority="26" stopIfTrue="1" operator="equal">
      <formula>"PASS"</formula>
    </cfRule>
    <cfRule type="cellIs" dxfId="70" priority="25" stopIfTrue="1" operator="equal">
      <formula>"FAIL"</formula>
    </cfRule>
  </conditionalFormatting>
  <conditionalFormatting sqref="L25">
    <cfRule type="cellIs" dxfId="69" priority="24" stopIfTrue="1" operator="equal">
      <formula>"PASS"</formula>
    </cfRule>
    <cfRule type="cellIs" dxfId="68" priority="23" stopIfTrue="1" operator="equal">
      <formula>"FAIL"</formula>
    </cfRule>
  </conditionalFormatting>
  <conditionalFormatting sqref="L27">
    <cfRule type="cellIs" dxfId="67" priority="22" stopIfTrue="1" operator="equal">
      <formula>"PASS"</formula>
    </cfRule>
    <cfRule type="cellIs" dxfId="66" priority="21" stopIfTrue="1" operator="equal">
      <formula>"FAIL"</formula>
    </cfRule>
  </conditionalFormatting>
  <conditionalFormatting sqref="L29">
    <cfRule type="cellIs" dxfId="65" priority="20" stopIfTrue="1" operator="equal">
      <formula>"PASS"</formula>
    </cfRule>
    <cfRule type="cellIs" dxfId="64" priority="19" stopIfTrue="1" operator="equal">
      <formula>"FAIL"</formula>
    </cfRule>
  </conditionalFormatting>
  <conditionalFormatting sqref="L31">
    <cfRule type="cellIs" dxfId="63" priority="18" stopIfTrue="1" operator="equal">
      <formula>"PASS"</formula>
    </cfRule>
    <cfRule type="cellIs" dxfId="62" priority="17" stopIfTrue="1" operator="equal">
      <formula>"FAIL"</formula>
    </cfRule>
  </conditionalFormatting>
  <conditionalFormatting sqref="L33">
    <cfRule type="cellIs" dxfId="61" priority="16" stopIfTrue="1" operator="equal">
      <formula>"PASS"</formula>
    </cfRule>
    <cfRule type="cellIs" dxfId="60" priority="15" stopIfTrue="1" operator="equal">
      <formula>"FAIL"</formula>
    </cfRule>
  </conditionalFormatting>
  <conditionalFormatting sqref="L35">
    <cfRule type="cellIs" dxfId="59" priority="14" stopIfTrue="1" operator="equal">
      <formula>"PASS"</formula>
    </cfRule>
    <cfRule type="cellIs" dxfId="58" priority="13" stopIfTrue="1" operator="equal">
      <formula>"FAIL"</formula>
    </cfRule>
  </conditionalFormatting>
  <conditionalFormatting sqref="L37">
    <cfRule type="cellIs" dxfId="57" priority="12" stopIfTrue="1" operator="equal">
      <formula>"PASS"</formula>
    </cfRule>
    <cfRule type="cellIs" dxfId="56" priority="11" stopIfTrue="1" operator="equal">
      <formula>"FAIL"</formula>
    </cfRule>
  </conditionalFormatting>
  <conditionalFormatting sqref="L39">
    <cfRule type="cellIs" dxfId="55" priority="10" stopIfTrue="1" operator="equal">
      <formula>"PASS"</formula>
    </cfRule>
    <cfRule type="cellIs" dxfId="54" priority="9" stopIfTrue="1" operator="equal">
      <formula>"FAIL"</formula>
    </cfRule>
  </conditionalFormatting>
  <conditionalFormatting sqref="L41">
    <cfRule type="cellIs" dxfId="53" priority="8" stopIfTrue="1" operator="equal">
      <formula>"PASS"</formula>
    </cfRule>
    <cfRule type="cellIs" dxfId="52" priority="7" stopIfTrue="1" operator="equal">
      <formula>"FAIL"</formula>
    </cfRule>
  </conditionalFormatting>
  <conditionalFormatting sqref="L43">
    <cfRule type="cellIs" dxfId="51" priority="6" stopIfTrue="1" operator="equal">
      <formula>"PASS"</formula>
    </cfRule>
    <cfRule type="cellIs" dxfId="50" priority="5" stopIfTrue="1" operator="equal">
      <formula>"FAIL"</formula>
    </cfRule>
  </conditionalFormatting>
  <conditionalFormatting sqref="L45">
    <cfRule type="cellIs" dxfId="49" priority="4" stopIfTrue="1" operator="equal">
      <formula>"PASS"</formula>
    </cfRule>
    <cfRule type="cellIs" dxfId="48" priority="3" stopIfTrue="1" operator="equal">
      <formula>"FAIL"</formula>
    </cfRule>
  </conditionalFormatting>
  <conditionalFormatting sqref="L49:L51 L57:L63">
    <cfRule type="cellIs" dxfId="47" priority="45" stopIfTrue="1" operator="equal">
      <formula>"FAIL"</formula>
    </cfRule>
    <cfRule type="cellIs" dxfId="46"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14689"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80AE16F3-2220-4B62-B285-DB4FAF5A3C16}">
          <x14:formula1>
            <xm:f>'Worksheet Instructions'!H$16:H$29</xm:f>
          </x14:formula1>
          <xm:sqref>M3:M46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2A65-C56E-4164-A7F2-AE882F91162B}">
  <dimension ref="A1:M124"/>
  <sheetViews>
    <sheetView zoomScale="85" zoomScaleNormal="85" zoomScaleSheetLayoutView="85" workbookViewId="0">
      <selection activeCell="J19" sqref="J19:J20"/>
    </sheetView>
  </sheetViews>
  <sheetFormatPr baseColWidth="10" defaultColWidth="9.1640625" defaultRowHeight="13" x14ac:dyDescent="0.15"/>
  <cols>
    <col min="1" max="1" width="1.83203125" style="12" customWidth="1"/>
    <col min="2" max="2" width="12.5" style="12" customWidth="1"/>
    <col min="3" max="5" width="12.5" style="10" customWidth="1"/>
    <col min="6" max="6" width="17.6640625" style="11" customWidth="1"/>
    <col min="7" max="7" width="2.5" style="11" customWidth="1"/>
    <col min="8" max="8" width="23.5" style="11" customWidth="1"/>
    <col min="9" max="12" width="17.5" style="11" customWidth="1"/>
    <col min="13" max="13" width="38.6640625" style="11" customWidth="1"/>
    <col min="14" max="16384" width="9.1640625" style="12"/>
  </cols>
  <sheetData>
    <row r="1" spans="1:13" s="9" customFormat="1" ht="13.75" customHeight="1" thickBot="1" x14ac:dyDescent="0.2">
      <c r="A1" s="1"/>
      <c r="B1" s="100" t="s">
        <v>8</v>
      </c>
      <c r="C1" s="101"/>
      <c r="D1" s="100" t="s">
        <v>19</v>
      </c>
      <c r="E1" s="102"/>
      <c r="F1" s="35" t="s">
        <v>47</v>
      </c>
      <c r="G1" s="43"/>
      <c r="H1" s="98" t="s">
        <v>16</v>
      </c>
      <c r="I1" s="113" t="s">
        <v>4</v>
      </c>
      <c r="J1" s="113" t="s">
        <v>5</v>
      </c>
      <c r="K1" s="113" t="s">
        <v>1</v>
      </c>
      <c r="L1" s="130" t="s">
        <v>61</v>
      </c>
      <c r="M1" s="125" t="s">
        <v>62</v>
      </c>
    </row>
    <row r="2" spans="1:13" s="9" customFormat="1" ht="24.75" customHeight="1" thickBot="1" x14ac:dyDescent="0.2">
      <c r="A2" s="1"/>
      <c r="B2" s="145" t="str">
        <f>IF('Datasheet (1)'!B2:C3="","",'Datasheet (1)'!B2:C3)</f>
        <v/>
      </c>
      <c r="C2" s="146"/>
      <c r="D2" s="145" t="str">
        <f>IF('Datasheet (1)'!D2:E3="","",'Datasheet (1)'!D2:E3)</f>
        <v/>
      </c>
      <c r="E2" s="149"/>
      <c r="F2" s="152" t="str">
        <f>IF('Datasheet (1)'!F2:F3="","",'Datasheet (1)'!F2:F3)</f>
        <v/>
      </c>
      <c r="G2" s="43"/>
      <c r="H2" s="99"/>
      <c r="I2" s="114"/>
      <c r="J2" s="114"/>
      <c r="K2" s="114"/>
      <c r="L2" s="131"/>
      <c r="M2" s="126"/>
    </row>
    <row r="3" spans="1:13" s="9" customFormat="1" ht="12.25" customHeight="1" thickBot="1" x14ac:dyDescent="0.2">
      <c r="A3" s="1"/>
      <c r="B3" s="147"/>
      <c r="C3" s="148"/>
      <c r="D3" s="150"/>
      <c r="E3" s="151"/>
      <c r="F3" s="153"/>
      <c r="G3" s="43"/>
      <c r="H3" s="154"/>
      <c r="I3" s="155"/>
      <c r="J3" s="155"/>
      <c r="K3" s="88" t="str">
        <f>IF(J3&lt;&gt;"",I3-J3,"")</f>
        <v/>
      </c>
      <c r="L3" s="86" t="str">
        <f>IF(J3="","",IF($F$10="","",IF(K3&lt;=$F$10,"PASS","FAIL")))</f>
        <v/>
      </c>
      <c r="M3" s="156" t="str">
        <f>IF(L3="PASS","NA","" )</f>
        <v/>
      </c>
    </row>
    <row r="4" spans="1:13" s="9" customFormat="1" ht="12.25" customHeight="1" thickBot="1" x14ac:dyDescent="0.2">
      <c r="A4" s="1"/>
      <c r="B4" s="36"/>
      <c r="C4" s="37"/>
      <c r="D4" s="38"/>
      <c r="E4" s="38"/>
      <c r="F4" s="29"/>
      <c r="G4" s="29"/>
      <c r="H4" s="83"/>
      <c r="I4" s="77"/>
      <c r="J4" s="77"/>
      <c r="K4" s="89"/>
      <c r="L4" s="87"/>
      <c r="M4" s="157"/>
    </row>
    <row r="5" spans="1:13" s="9" customFormat="1" ht="12.25" customHeight="1" thickBot="1" x14ac:dyDescent="0.2">
      <c r="A5" s="1"/>
      <c r="B5" s="100" t="s">
        <v>17</v>
      </c>
      <c r="C5" s="108"/>
      <c r="D5" s="158" t="s">
        <v>11</v>
      </c>
      <c r="E5" s="159"/>
      <c r="F5" s="159"/>
      <c r="G5" s="44"/>
      <c r="H5" s="82"/>
      <c r="I5" s="76"/>
      <c r="J5" s="76"/>
      <c r="K5" s="78" t="str">
        <f t="shared" ref="K5" si="0">IF(J5&lt;&gt;"",I5-J5,"")</f>
        <v/>
      </c>
      <c r="L5" s="80" t="str">
        <f t="shared" ref="L5" si="1">IF(J5="","",IF($F$10="","",IF(K5&lt;=$F$10,"PASS","FAIL")))</f>
        <v/>
      </c>
      <c r="M5" s="72" t="str">
        <f>IF(L5="PASS","NA","")</f>
        <v/>
      </c>
    </row>
    <row r="6" spans="1:13" s="9" customFormat="1" ht="12.25" customHeight="1" thickBot="1" x14ac:dyDescent="0.2">
      <c r="A6" s="1"/>
      <c r="B6" s="145" t="str">
        <f>IF('Datasheet (1)'!B6:C7="","",'Datasheet (1)'!B6:C7)</f>
        <v/>
      </c>
      <c r="C6" s="146"/>
      <c r="D6" s="158"/>
      <c r="E6" s="159"/>
      <c r="F6" s="159"/>
      <c r="G6" s="44"/>
      <c r="H6" s="83"/>
      <c r="I6" s="77"/>
      <c r="J6" s="77"/>
      <c r="K6" s="79"/>
      <c r="L6" s="81"/>
      <c r="M6" s="73"/>
    </row>
    <row r="7" spans="1:13" s="9" customFormat="1" ht="12.25" customHeight="1" thickBot="1" x14ac:dyDescent="0.2">
      <c r="A7" s="1"/>
      <c r="B7" s="147"/>
      <c r="C7" s="148"/>
      <c r="D7" s="158"/>
      <c r="E7" s="159"/>
      <c r="F7" s="159"/>
      <c r="G7" s="29"/>
      <c r="H7" s="82"/>
      <c r="I7" s="76"/>
      <c r="J7" s="76"/>
      <c r="K7" s="78" t="str">
        <f t="shared" ref="K7" si="2">IF(J7&lt;&gt;"",I7-J7,"")</f>
        <v/>
      </c>
      <c r="L7" s="80" t="str">
        <f t="shared" ref="L7" si="3">IF(J7="","",IF($F$10="","",IF(K7&lt;=$F$10,"PASS","FAIL")))</f>
        <v/>
      </c>
      <c r="M7" s="72" t="str">
        <f>IF(L7="PASS","NA","")</f>
        <v/>
      </c>
    </row>
    <row r="8" spans="1:13" s="9" customFormat="1" ht="12.25" customHeight="1" thickBot="1" x14ac:dyDescent="0.2">
      <c r="A8" s="1"/>
      <c r="B8"/>
      <c r="C8"/>
      <c r="D8" s="38"/>
      <c r="E8" s="38"/>
      <c r="F8" s="29"/>
      <c r="G8" s="29"/>
      <c r="H8" s="83"/>
      <c r="I8" s="77"/>
      <c r="J8" s="77"/>
      <c r="K8" s="79"/>
      <c r="L8" s="81"/>
      <c r="M8" s="73"/>
    </row>
    <row r="9" spans="1:13" s="9" customFormat="1" ht="12.25" customHeight="1" thickBot="1" x14ac:dyDescent="0.2">
      <c r="A9" s="1"/>
      <c r="B9" s="100" t="s">
        <v>43</v>
      </c>
      <c r="C9" s="108"/>
      <c r="D9" s="100" t="s">
        <v>20</v>
      </c>
      <c r="E9" s="108"/>
      <c r="F9" s="39" t="s">
        <v>21</v>
      </c>
      <c r="G9" s="29"/>
      <c r="H9" s="82"/>
      <c r="I9" s="76"/>
      <c r="J9" s="76"/>
      <c r="K9" s="78" t="str">
        <f t="shared" ref="K9" si="4">IF(J9&lt;&gt;"",I9-J9,"")</f>
        <v/>
      </c>
      <c r="L9" s="80" t="str">
        <f t="shared" ref="L9" si="5">IF(J9="","",IF($F$10="","",IF(K9&lt;=$F$10,"PASS","FAIL")))</f>
        <v/>
      </c>
      <c r="M9" s="72" t="str">
        <f>IF(L9="PASS","NA","")</f>
        <v/>
      </c>
    </row>
    <row r="10" spans="1:13" s="9" customFormat="1" ht="12.25" customHeight="1" thickBot="1" x14ac:dyDescent="0.2">
      <c r="A10" s="1"/>
      <c r="B10" s="145" t="str">
        <f>IF('Datasheet (1)'!B10:C11="","",'Datasheet (1)'!B10:C11)</f>
        <v/>
      </c>
      <c r="C10" s="146"/>
      <c r="D10" s="145" t="str">
        <f>IF('Datasheet (1)'!D10:E11="","",'Datasheet (1)'!D10:E11)</f>
        <v/>
      </c>
      <c r="E10" s="146"/>
      <c r="F10" s="127" t="str">
        <f>IF(OR(D10= "HBV", D10="HCV", D10="HIV", D10="Xpert E-RP"), 15, IF(OR(D10="Norovirus", D10="Strep A", D10="TV", D10="CTNG and Xpress CT/NG", D10="FlexCart-01", D10="FlexCart-05", D10="Flu", D10="BCR-ABL",D10="Breast Cancer", D10="Bladder Cancer", D10="C. Diff", D10="Carba-R", D10="Ebola", D10="FIIFV/Hemosil", D10="FlexCart-02", D10="GBS", D10="HPV", D10="MRSA", D10="MTB", D10="PA", D10="SA Comp", D10="SARS CoV2", D10="Xpress CoV-2 plus",D10="SARS CoV2 Flu/RSV",D10="SARS CoV2 Flu/RSV XC", D10="Xpress CoV-2/Flu/RSV plus",D10="Van A",  D10="Xpert Check", D10="Xpert Xpress MVP", D10="Xpert NPM1 Mutation", D10="Xpert Respiratory Panel", D10="Xpert GI Panel", D10="Monkeypox", D10="Xpert PML-RARA RUO", D10="LCE010 Xpress CoV-2/Flu/RSV plus"),100,""))</f>
        <v/>
      </c>
      <c r="G10" s="29"/>
      <c r="H10" s="83"/>
      <c r="I10" s="77"/>
      <c r="J10" s="77"/>
      <c r="K10" s="79"/>
      <c r="L10" s="81"/>
      <c r="M10" s="73"/>
    </row>
    <row r="11" spans="1:13" s="9" customFormat="1" ht="12.25" customHeight="1" thickBot="1" x14ac:dyDescent="0.2">
      <c r="A11" s="1"/>
      <c r="B11" s="147"/>
      <c r="C11" s="148"/>
      <c r="D11" s="147"/>
      <c r="E11" s="148"/>
      <c r="F11" s="128"/>
      <c r="G11" s="29"/>
      <c r="H11" s="82"/>
      <c r="I11" s="76"/>
      <c r="J11" s="76"/>
      <c r="K11" s="78" t="str">
        <f t="shared" ref="K11" si="6">IF(J11&lt;&gt;"",I11-J11,"")</f>
        <v/>
      </c>
      <c r="L11" s="80" t="str">
        <f t="shared" ref="L11" si="7">IF(J11="","",IF($F$10="","",IF(K11&lt;=$F$10,"PASS","FAIL")))</f>
        <v/>
      </c>
      <c r="M11" s="72" t="str">
        <f>IF(L11="PASS","NA","")</f>
        <v/>
      </c>
    </row>
    <row r="12" spans="1:13" s="13" customFormat="1" ht="12.25" customHeight="1" thickBot="1" x14ac:dyDescent="0.2">
      <c r="A12" s="23"/>
      <c r="B12" s="1"/>
      <c r="C12" s="1"/>
      <c r="D12" s="20"/>
      <c r="E12" s="20"/>
      <c r="F12" s="38"/>
      <c r="G12" s="29"/>
      <c r="H12" s="83"/>
      <c r="I12" s="77"/>
      <c r="J12" s="77"/>
      <c r="K12" s="79"/>
      <c r="L12" s="81"/>
      <c r="M12" s="73"/>
    </row>
    <row r="13" spans="1:13" ht="12.25" customHeight="1" thickBot="1" x14ac:dyDescent="0.2">
      <c r="A13"/>
      <c r="B13" s="100" t="s">
        <v>14</v>
      </c>
      <c r="C13" s="108"/>
      <c r="D13" s="100" t="s">
        <v>15</v>
      </c>
      <c r="E13" s="108"/>
      <c r="F13" s="23"/>
      <c r="G13" s="29"/>
      <c r="H13" s="82"/>
      <c r="I13" s="76"/>
      <c r="J13" s="76"/>
      <c r="K13" s="78" t="str">
        <f t="shared" ref="K13" si="8">IF(J13&lt;&gt;"",I13-J13,"")</f>
        <v/>
      </c>
      <c r="L13" s="80" t="str">
        <f t="shared" ref="L13" si="9">IF(J13="","",IF($F$10="","",IF(K13&lt;=$F$10,"PASS","FAIL")))</f>
        <v/>
      </c>
      <c r="M13" s="72" t="str">
        <f>IF(L13="PASS","NA","")</f>
        <v/>
      </c>
    </row>
    <row r="14" spans="1:13" ht="12.25" customHeight="1" thickBot="1" x14ac:dyDescent="0.2">
      <c r="A14"/>
      <c r="B14" s="92"/>
      <c r="C14" s="103"/>
      <c r="D14" s="92"/>
      <c r="E14" s="93"/>
      <c r="F14" s="29"/>
      <c r="G14" s="29"/>
      <c r="H14" s="83"/>
      <c r="I14" s="77"/>
      <c r="J14" s="77"/>
      <c r="K14" s="79"/>
      <c r="L14" s="81"/>
      <c r="M14" s="73"/>
    </row>
    <row r="15" spans="1:13" ht="12.25" customHeight="1" thickBot="1" x14ac:dyDescent="0.2">
      <c r="A15"/>
      <c r="B15" s="104"/>
      <c r="C15" s="105"/>
      <c r="D15" s="94"/>
      <c r="E15" s="95"/>
      <c r="F15" s="29"/>
      <c r="G15" s="29"/>
      <c r="H15" s="82"/>
      <c r="I15" s="76"/>
      <c r="J15" s="76"/>
      <c r="K15" s="78" t="str">
        <f t="shared" ref="K15" si="10">IF(J15&lt;&gt;"",I15-J15,"")</f>
        <v/>
      </c>
      <c r="L15" s="80" t="str">
        <f t="shared" ref="L15" si="11">IF(J15="","",IF($F$10="","",IF(K15&lt;=$F$10,"PASS","FAIL")))</f>
        <v/>
      </c>
      <c r="M15" s="72" t="str">
        <f>IF(L15="PASS","NA","")</f>
        <v/>
      </c>
    </row>
    <row r="16" spans="1:13" ht="12.25" customHeight="1" thickBot="1" x14ac:dyDescent="0.2">
      <c r="A16"/>
      <c r="B16" s="115"/>
      <c r="C16" s="116"/>
      <c r="D16" s="115"/>
      <c r="E16" s="116"/>
      <c r="F16" s="29"/>
      <c r="G16" s="29"/>
      <c r="H16" s="83"/>
      <c r="I16" s="77"/>
      <c r="J16" s="77"/>
      <c r="K16" s="79"/>
      <c r="L16" s="81"/>
      <c r="M16" s="73"/>
    </row>
    <row r="17" spans="1:13" ht="12.25" customHeight="1" x14ac:dyDescent="0.15">
      <c r="A17"/>
      <c r="B17" s="117"/>
      <c r="C17" s="117"/>
      <c r="D17" s="117"/>
      <c r="E17" s="117"/>
      <c r="F17" s="29"/>
      <c r="G17" s="29"/>
      <c r="H17" s="82"/>
      <c r="I17" s="76"/>
      <c r="J17" s="76"/>
      <c r="K17" s="78" t="str">
        <f t="shared" ref="K17" si="12">IF(J17&lt;&gt;"",I17-J17,"")</f>
        <v/>
      </c>
      <c r="L17" s="80" t="str">
        <f t="shared" ref="L17" si="13">IF(J17="","",IF($F$10="","",IF(K17&lt;=$F$10,"PASS","FAIL")))</f>
        <v/>
      </c>
      <c r="M17" s="72" t="str">
        <f>IF(L17="PASS","NA","")</f>
        <v/>
      </c>
    </row>
    <row r="18" spans="1:13" ht="12.25" customHeight="1" thickBot="1" x14ac:dyDescent="0.2">
      <c r="A18"/>
      <c r="B18" s="40"/>
      <c r="C18" s="41"/>
      <c r="D18" s="40"/>
      <c r="E18" s="41"/>
      <c r="F18" s="29"/>
      <c r="G18" s="29"/>
      <c r="H18" s="83"/>
      <c r="I18" s="77"/>
      <c r="J18" s="77"/>
      <c r="K18" s="79"/>
      <c r="L18" s="81"/>
      <c r="M18" s="73"/>
    </row>
    <row r="19" spans="1:13" ht="12.25" customHeight="1" thickBot="1" x14ac:dyDescent="0.2">
      <c r="A19"/>
      <c r="B19" s="100" t="s">
        <v>12</v>
      </c>
      <c r="C19" s="101"/>
      <c r="D19" s="100" t="s">
        <v>13</v>
      </c>
      <c r="E19" s="101"/>
      <c r="F19" s="29"/>
      <c r="G19" s="29"/>
      <c r="H19" s="82"/>
      <c r="I19" s="76"/>
      <c r="J19" s="76"/>
      <c r="K19" s="78" t="str">
        <f t="shared" ref="K19" si="14">IF(J19&lt;&gt;"",I19-J19,"")</f>
        <v/>
      </c>
      <c r="L19" s="80" t="str">
        <f t="shared" ref="L19" si="15">IF(J19="","",IF($F$10="","",IF(K19&lt;=$F$10,"PASS","FAIL")))</f>
        <v/>
      </c>
      <c r="M19" s="72" t="str">
        <f>IF(L19="PASS","NA","")</f>
        <v/>
      </c>
    </row>
    <row r="20" spans="1:13" ht="12.25" customHeight="1" thickBot="1" x14ac:dyDescent="0.2">
      <c r="A20"/>
      <c r="B20" s="92"/>
      <c r="C20" s="93"/>
      <c r="D20" s="92"/>
      <c r="E20" s="93"/>
      <c r="F20" s="38"/>
      <c r="G20" s="38"/>
      <c r="H20" s="83"/>
      <c r="I20" s="77"/>
      <c r="J20" s="77"/>
      <c r="K20" s="79"/>
      <c r="L20" s="81"/>
      <c r="M20" s="73"/>
    </row>
    <row r="21" spans="1:13" ht="12.25" customHeight="1" thickBot="1" x14ac:dyDescent="0.2">
      <c r="A21"/>
      <c r="B21" s="94"/>
      <c r="C21" s="95"/>
      <c r="D21" s="94"/>
      <c r="E21" s="95"/>
      <c r="F21" s="29"/>
      <c r="G21" s="29"/>
      <c r="H21" s="82"/>
      <c r="I21" s="76"/>
      <c r="J21" s="76"/>
      <c r="K21" s="78" t="str">
        <f t="shared" ref="K21" si="16">IF(J21&lt;&gt;"",I21-J21,"")</f>
        <v/>
      </c>
      <c r="L21" s="80" t="str">
        <f t="shared" ref="L21" si="17">IF(J21="","",IF($F$10="","",IF(K21&lt;=$F$10,"PASS","FAIL")))</f>
        <v/>
      </c>
      <c r="M21" s="72" t="str">
        <f>IF(L21="PASS","NA","")</f>
        <v/>
      </c>
    </row>
    <row r="22" spans="1:13" ht="12.25" customHeight="1" thickBot="1" x14ac:dyDescent="0.2">
      <c r="A22"/>
      <c r="B22" s="115"/>
      <c r="C22" s="116"/>
      <c r="D22" s="115"/>
      <c r="E22" s="115"/>
      <c r="F22" s="29"/>
      <c r="G22" s="29"/>
      <c r="H22" s="83"/>
      <c r="I22" s="77"/>
      <c r="J22" s="77"/>
      <c r="K22" s="79"/>
      <c r="L22" s="81"/>
      <c r="M22" s="73"/>
    </row>
    <row r="23" spans="1:13" ht="12.25" customHeight="1" thickBot="1" x14ac:dyDescent="0.2">
      <c r="A23"/>
      <c r="B23" s="117"/>
      <c r="C23" s="117"/>
      <c r="D23" s="129"/>
      <c r="E23" s="129"/>
      <c r="F23" s="29"/>
      <c r="G23" s="29"/>
      <c r="H23" s="82"/>
      <c r="I23" s="76"/>
      <c r="J23" s="76"/>
      <c r="K23" s="78" t="str">
        <f t="shared" ref="K23" si="18">IF(J23&lt;&gt;"",I23-J23,"")</f>
        <v/>
      </c>
      <c r="L23" s="80" t="str">
        <f t="shared" ref="L23" si="19">IF(J23="","",IF($F$10="","",IF(K23&lt;=$F$10,"PASS","FAIL")))</f>
        <v/>
      </c>
      <c r="M23" s="72" t="str">
        <f>IF(L23="PASS","NA","")</f>
        <v/>
      </c>
    </row>
    <row r="24" spans="1:13" ht="12.25" customHeight="1" thickBot="1" x14ac:dyDescent="0.2">
      <c r="A24"/>
      <c r="B24" s="100" t="s">
        <v>95</v>
      </c>
      <c r="C24" s="108"/>
      <c r="D24" s="100" t="s">
        <v>96</v>
      </c>
      <c r="E24" s="108"/>
      <c r="F24" s="29"/>
      <c r="G24" s="29"/>
      <c r="H24" s="83"/>
      <c r="I24" s="77"/>
      <c r="J24" s="77"/>
      <c r="K24" s="79"/>
      <c r="L24" s="81"/>
      <c r="M24" s="73"/>
    </row>
    <row r="25" spans="1:13" ht="12.25" customHeight="1" x14ac:dyDescent="0.15">
      <c r="A25"/>
      <c r="B25" s="92"/>
      <c r="C25" s="93"/>
      <c r="D25" s="92"/>
      <c r="E25" s="93"/>
      <c r="F25" s="29"/>
      <c r="G25" s="29"/>
      <c r="H25" s="82"/>
      <c r="I25" s="76"/>
      <c r="J25" s="76"/>
      <c r="K25" s="78" t="str">
        <f t="shared" ref="K25" si="20">IF(J25&lt;&gt;"",I25-J25,"")</f>
        <v/>
      </c>
      <c r="L25" s="80" t="str">
        <f t="shared" ref="L25" si="21">IF(J25="","",IF($F$10="","",IF(K25&lt;=$F$10,"PASS","FAIL")))</f>
        <v/>
      </c>
      <c r="M25" s="72" t="str">
        <f>IF(L25="PASS","NA","")</f>
        <v/>
      </c>
    </row>
    <row r="26" spans="1:13" ht="12.25" customHeight="1" thickBot="1" x14ac:dyDescent="0.2">
      <c r="A26"/>
      <c r="B26" s="94"/>
      <c r="C26" s="95"/>
      <c r="D26" s="94"/>
      <c r="E26" s="95"/>
      <c r="F26" s="29"/>
      <c r="G26" s="29"/>
      <c r="H26" s="83"/>
      <c r="I26" s="77"/>
      <c r="J26" s="77"/>
      <c r="K26" s="79"/>
      <c r="L26" s="81"/>
      <c r="M26" s="73"/>
    </row>
    <row r="27" spans="1:13" ht="12.25" customHeight="1" x14ac:dyDescent="0.15">
      <c r="A27"/>
      <c r="B27" s="115"/>
      <c r="C27" s="116"/>
      <c r="D27" s="115"/>
      <c r="E27" s="116"/>
      <c r="F27"/>
      <c r="G27"/>
      <c r="H27" s="82"/>
      <c r="I27" s="76"/>
      <c r="J27" s="76"/>
      <c r="K27" s="78" t="str">
        <f t="shared" ref="K27" si="22">IF(J27&lt;&gt;"",I27-J27,"")</f>
        <v/>
      </c>
      <c r="L27" s="80" t="str">
        <f t="shared" ref="L27" si="23">IF(J27="","",IF($F$10="","",IF(K27&lt;=$F$10,"PASS","FAIL")))</f>
        <v/>
      </c>
      <c r="M27" s="72" t="str">
        <f>IF(L27="PASS","NA","")</f>
        <v/>
      </c>
    </row>
    <row r="28" spans="1:13" ht="12.25" customHeight="1" thickBot="1" x14ac:dyDescent="0.2">
      <c r="A28"/>
      <c r="B28" s="117"/>
      <c r="C28" s="117"/>
      <c r="D28" s="117"/>
      <c r="E28" s="117"/>
      <c r="F28"/>
      <c r="G28"/>
      <c r="H28" s="83"/>
      <c r="I28" s="77"/>
      <c r="J28" s="77"/>
      <c r="K28" s="79"/>
      <c r="L28" s="81"/>
      <c r="M28" s="73"/>
    </row>
    <row r="29" spans="1:13" ht="12.25" customHeight="1" x14ac:dyDescent="0.15">
      <c r="A29"/>
      <c r="B29" s="42" t="s">
        <v>9</v>
      </c>
      <c r="C29" s="41"/>
      <c r="D29" s="40"/>
      <c r="E29" s="41"/>
      <c r="F29"/>
      <c r="G29"/>
      <c r="H29" s="82"/>
      <c r="I29" s="76"/>
      <c r="J29" s="76"/>
      <c r="K29" s="78" t="str">
        <f t="shared" ref="K29" si="24">IF(J29&lt;&gt;"",I29-J29,"")</f>
        <v/>
      </c>
      <c r="L29" s="80" t="str">
        <f t="shared" ref="L29" si="25">IF(J29="","",IF($F$10="","",IF(K29&lt;=$F$10,"PASS","FAIL")))</f>
        <v/>
      </c>
      <c r="M29" s="72" t="str">
        <f>IF(L29="PASS","NA","")</f>
        <v/>
      </c>
    </row>
    <row r="30" spans="1:13" ht="12.25" customHeight="1" thickBot="1" x14ac:dyDescent="0.2">
      <c r="A30"/>
      <c r="B30" s="22"/>
      <c r="C30" s="22"/>
      <c r="D30" s="22"/>
      <c r="E30" s="22"/>
      <c r="F30"/>
      <c r="G30"/>
      <c r="H30" s="83"/>
      <c r="I30" s="77"/>
      <c r="J30" s="77"/>
      <c r="K30" s="79"/>
      <c r="L30" s="81"/>
      <c r="M30" s="73"/>
    </row>
    <row r="31" spans="1:13" ht="12.25" customHeight="1" x14ac:dyDescent="0.15">
      <c r="A31"/>
      <c r="B31" s="22"/>
      <c r="C31" s="19"/>
      <c r="D31" s="22"/>
      <c r="E31" s="22"/>
      <c r="F31"/>
      <c r="G31"/>
      <c r="H31" s="82"/>
      <c r="I31" s="76"/>
      <c r="J31" s="76"/>
      <c r="K31" s="78" t="str">
        <f t="shared" ref="K31" si="26">IF(J31&lt;&gt;"",I31-J31,"")</f>
        <v/>
      </c>
      <c r="L31" s="80" t="str">
        <f t="shared" ref="L31" si="27">IF(J31="","",IF($F$10="","",IF(K31&lt;=$F$10,"PASS","FAIL")))</f>
        <v/>
      </c>
      <c r="M31" s="72" t="str">
        <f>IF(L31="PASS","NA","")</f>
        <v/>
      </c>
    </row>
    <row r="32" spans="1:13" ht="12.25" customHeight="1" thickBot="1" x14ac:dyDescent="0.2">
      <c r="A32"/>
      <c r="B32" s="19"/>
      <c r="C32" s="19"/>
      <c r="D32" s="22"/>
      <c r="E32" s="22"/>
      <c r="F32"/>
      <c r="G32"/>
      <c r="H32" s="83"/>
      <c r="I32" s="77"/>
      <c r="J32" s="77"/>
      <c r="K32" s="79"/>
      <c r="L32" s="81"/>
      <c r="M32" s="73"/>
    </row>
    <row r="33" spans="1:13" ht="12.25" customHeight="1" x14ac:dyDescent="0.15">
      <c r="A33"/>
      <c r="B33"/>
      <c r="C33" s="38"/>
      <c r="D33" s="38"/>
      <c r="E33" s="38"/>
      <c r="F33"/>
      <c r="G33"/>
      <c r="H33" s="82"/>
      <c r="I33" s="76"/>
      <c r="J33" s="76"/>
      <c r="K33" s="78" t="str">
        <f t="shared" ref="K33" si="28">IF(J33&lt;&gt;"",I33-J33,"")</f>
        <v/>
      </c>
      <c r="L33" s="80" t="str">
        <f t="shared" ref="L33" si="29">IF(J33="","",IF($F$10="","",IF(K33&lt;=$F$10,"PASS","FAIL")))</f>
        <v/>
      </c>
      <c r="M33" s="72" t="str">
        <f>IF(L33="PASS","NA","")</f>
        <v/>
      </c>
    </row>
    <row r="34" spans="1:13" ht="12.25" customHeight="1" thickBot="1" x14ac:dyDescent="0.2">
      <c r="A34"/>
      <c r="B34"/>
      <c r="C34" s="38"/>
      <c r="D34" s="38"/>
      <c r="E34" s="38"/>
      <c r="F34"/>
      <c r="G34"/>
      <c r="H34" s="83"/>
      <c r="I34" s="77"/>
      <c r="J34" s="77"/>
      <c r="K34" s="79"/>
      <c r="L34" s="81"/>
      <c r="M34" s="73"/>
    </row>
    <row r="35" spans="1:13" ht="12.25" customHeight="1" x14ac:dyDescent="0.15">
      <c r="A35"/>
      <c r="B35" s="42"/>
      <c r="C35" s="38"/>
      <c r="D35" s="38"/>
      <c r="E35" s="38"/>
      <c r="F35"/>
      <c r="G35"/>
      <c r="H35" s="82"/>
      <c r="I35" s="76"/>
      <c r="J35" s="76"/>
      <c r="K35" s="78" t="str">
        <f t="shared" ref="K35" si="30">IF(J35&lt;&gt;"",I35-J35,"")</f>
        <v/>
      </c>
      <c r="L35" s="80" t="str">
        <f t="shared" ref="L35" si="31">IF(J35="","",IF($F$10="","",IF(K35&lt;=$F$10,"PASS","FAIL")))</f>
        <v/>
      </c>
      <c r="M35" s="72" t="str">
        <f>IF(L35="PASS","NA","")</f>
        <v/>
      </c>
    </row>
    <row r="36" spans="1:13" ht="12.25" customHeight="1" thickBot="1" x14ac:dyDescent="0.2">
      <c r="A36"/>
      <c r="B36"/>
      <c r="C36" s="38"/>
      <c r="D36" s="38"/>
      <c r="E36" s="38"/>
      <c r="F36"/>
      <c r="G36"/>
      <c r="H36" s="83"/>
      <c r="I36" s="77"/>
      <c r="J36" s="77"/>
      <c r="K36" s="79"/>
      <c r="L36" s="81"/>
      <c r="M36" s="73"/>
    </row>
    <row r="37" spans="1:13" ht="12.25" customHeight="1" x14ac:dyDescent="0.15">
      <c r="A37"/>
      <c r="B37"/>
      <c r="C37" s="38"/>
      <c r="D37" s="38"/>
      <c r="E37" s="38"/>
      <c r="F37"/>
      <c r="G37"/>
      <c r="H37" s="82"/>
      <c r="I37" s="76"/>
      <c r="J37" s="76"/>
      <c r="K37" s="78" t="str">
        <f t="shared" ref="K37" si="32">IF(J37&lt;&gt;"",I37-J37,"")</f>
        <v/>
      </c>
      <c r="L37" s="80" t="str">
        <f t="shared" ref="L37" si="33">IF(J37="","",IF($F$10="","",IF(K37&lt;=$F$10,"PASS","FAIL")))</f>
        <v/>
      </c>
      <c r="M37" s="72" t="str">
        <f>IF(L37="PASS","NA","")</f>
        <v/>
      </c>
    </row>
    <row r="38" spans="1:13" ht="12.25" customHeight="1" thickBot="1" x14ac:dyDescent="0.2">
      <c r="A38"/>
      <c r="B38"/>
      <c r="C38" s="38"/>
      <c r="D38" s="38"/>
      <c r="E38" s="38"/>
      <c r="F38"/>
      <c r="G38"/>
      <c r="H38" s="83"/>
      <c r="I38" s="77"/>
      <c r="J38" s="77"/>
      <c r="K38" s="79"/>
      <c r="L38" s="81"/>
      <c r="M38" s="73"/>
    </row>
    <row r="39" spans="1:13" ht="12.25" customHeight="1" x14ac:dyDescent="0.15">
      <c r="A39"/>
      <c r="B39"/>
      <c r="C39" s="38"/>
      <c r="D39" s="38"/>
      <c r="E39" s="38"/>
      <c r="F39"/>
      <c r="G39"/>
      <c r="H39" s="82"/>
      <c r="I39" s="76"/>
      <c r="J39" s="76"/>
      <c r="K39" s="78" t="str">
        <f t="shared" ref="K39" si="34">IF(J39&lt;&gt;"",I39-J39,"")</f>
        <v/>
      </c>
      <c r="L39" s="80" t="str">
        <f t="shared" ref="L39" si="35">IF(J39="","",IF($F$10="","",IF(K39&lt;=$F$10,"PASS","FAIL")))</f>
        <v/>
      </c>
      <c r="M39" s="72" t="str">
        <f>IF(L39="PASS","NA","")</f>
        <v/>
      </c>
    </row>
    <row r="40" spans="1:13" ht="12.25" customHeight="1" thickBot="1" x14ac:dyDescent="0.2">
      <c r="A40"/>
      <c r="B40"/>
      <c r="C40" s="38"/>
      <c r="D40" s="38"/>
      <c r="E40" s="38"/>
      <c r="F40"/>
      <c r="G40"/>
      <c r="H40" s="83"/>
      <c r="I40" s="77"/>
      <c r="J40" s="77"/>
      <c r="K40" s="79"/>
      <c r="L40" s="81"/>
      <c r="M40" s="73"/>
    </row>
    <row r="41" spans="1:13" ht="12.25" customHeight="1" thickBot="1" x14ac:dyDescent="0.2">
      <c r="A41"/>
      <c r="B41"/>
      <c r="C41" s="38"/>
      <c r="D41" s="38"/>
      <c r="E41" s="38"/>
      <c r="F41"/>
      <c r="G41"/>
      <c r="H41" s="82"/>
      <c r="I41" s="76"/>
      <c r="J41" s="76"/>
      <c r="K41" s="78" t="str">
        <f t="shared" ref="K41" si="36">IF(J41&lt;&gt;"",I41-J41,"")</f>
        <v/>
      </c>
      <c r="L41" s="80" t="str">
        <f t="shared" ref="L41" si="37">IF(J41="","",IF($F$10="","",IF(K41&lt;=$F$10,"PASS","FAIL")))</f>
        <v/>
      </c>
      <c r="M41" s="72" t="str">
        <f>IF(L41="PASS","NA","")</f>
        <v/>
      </c>
    </row>
    <row r="42" spans="1:13" ht="12.25" customHeight="1" thickBot="1" x14ac:dyDescent="0.2">
      <c r="A42"/>
      <c r="B42" s="100" t="s">
        <v>10</v>
      </c>
      <c r="C42" s="102"/>
      <c r="D42" s="102"/>
      <c r="E42" s="101"/>
      <c r="F42" s="29"/>
      <c r="G42" s="29"/>
      <c r="H42" s="83"/>
      <c r="I42" s="77"/>
      <c r="J42" s="77"/>
      <c r="K42" s="79"/>
      <c r="L42" s="81"/>
      <c r="M42" s="73"/>
    </row>
    <row r="43" spans="1:13" ht="12.25" customHeight="1" x14ac:dyDescent="0.15">
      <c r="A43"/>
      <c r="B43" s="92"/>
      <c r="C43" s="118"/>
      <c r="D43" s="118"/>
      <c r="E43" s="93"/>
      <c r="F43" s="29"/>
      <c r="G43" s="29"/>
      <c r="H43" s="82"/>
      <c r="I43" s="76"/>
      <c r="J43" s="76"/>
      <c r="K43" s="78" t="str">
        <f t="shared" ref="K43" si="38">IF(J43&lt;&gt;"",I43-J43,"")</f>
        <v/>
      </c>
      <c r="L43" s="80" t="str">
        <f t="shared" ref="L43" si="39">IF(J43="","",IF($F$10="","",IF(K43&lt;=$F$10,"PASS","FAIL")))</f>
        <v/>
      </c>
      <c r="M43" s="72" t="str">
        <f>IF(L43="PASS","NA","")</f>
        <v/>
      </c>
    </row>
    <row r="44" spans="1:13" ht="12.25" customHeight="1" thickBot="1" x14ac:dyDescent="0.2">
      <c r="A44"/>
      <c r="B44" s="94"/>
      <c r="C44" s="119"/>
      <c r="D44" s="119"/>
      <c r="E44" s="95"/>
      <c r="F44" s="29"/>
      <c r="G44" s="29"/>
      <c r="H44" s="83"/>
      <c r="I44" s="77"/>
      <c r="J44" s="77"/>
      <c r="K44" s="79"/>
      <c r="L44" s="81"/>
      <c r="M44" s="73"/>
    </row>
    <row r="45" spans="1:13" ht="12.25" customHeight="1" thickBot="1" x14ac:dyDescent="0.2">
      <c r="A45"/>
      <c r="B45"/>
      <c r="C45" s="38"/>
      <c r="D45" s="38"/>
      <c r="E45" s="38"/>
      <c r="F45" s="29"/>
      <c r="G45" s="29"/>
      <c r="H45" s="82"/>
      <c r="I45" s="76"/>
      <c r="J45" s="76"/>
      <c r="K45" s="78" t="str">
        <f t="shared" ref="K45" si="40">IF(J45&lt;&gt;"",I45-J45,"")</f>
        <v/>
      </c>
      <c r="L45" s="80" t="str">
        <f t="shared" ref="L45" si="41">IF(J45="","",IF($F$10="","",IF(K45&lt;=$F$10,"PASS","FAIL")))</f>
        <v/>
      </c>
      <c r="M45" s="72" t="str">
        <f>IF(L45="PASS","NA","")</f>
        <v/>
      </c>
    </row>
    <row r="46" spans="1:13" ht="15" customHeight="1" thickBot="1" x14ac:dyDescent="0.2">
      <c r="A46"/>
      <c r="B46" s="100" t="s">
        <v>2</v>
      </c>
      <c r="C46" s="101"/>
      <c r="D46" s="100" t="s">
        <v>0</v>
      </c>
      <c r="E46" s="101"/>
      <c r="F46" s="29"/>
      <c r="G46" s="29"/>
      <c r="H46" s="83"/>
      <c r="I46" s="77"/>
      <c r="J46" s="77"/>
      <c r="K46" s="79"/>
      <c r="L46" s="81"/>
      <c r="M46" s="73"/>
    </row>
    <row r="47" spans="1:13" ht="12.25" customHeight="1" x14ac:dyDescent="0.15">
      <c r="A47"/>
      <c r="B47" s="92"/>
      <c r="C47" s="93"/>
      <c r="D47" s="92"/>
      <c r="E47" s="93"/>
      <c r="F47" s="29"/>
      <c r="G47" s="29"/>
      <c r="H47" s="10"/>
      <c r="I47" s="27"/>
      <c r="J47" s="27"/>
      <c r="K47" s="31"/>
      <c r="M47" s="10"/>
    </row>
    <row r="48" spans="1:13" ht="12.75" customHeight="1" thickBot="1" x14ac:dyDescent="0.2">
      <c r="A48"/>
      <c r="B48" s="94"/>
      <c r="C48" s="95"/>
      <c r="D48" s="94"/>
      <c r="E48" s="95"/>
      <c r="F48" s="29"/>
      <c r="G48" s="29"/>
      <c r="H48" s="10"/>
      <c r="I48" s="27"/>
      <c r="J48" s="27"/>
      <c r="K48" s="31"/>
      <c r="M48" s="10"/>
    </row>
    <row r="49" spans="1:13" ht="12.25" customHeight="1" thickBot="1" x14ac:dyDescent="0.2">
      <c r="A49"/>
      <c r="B49"/>
      <c r="C49" s="38"/>
      <c r="D49" s="38"/>
      <c r="E49" s="38"/>
      <c r="F49" s="29"/>
      <c r="G49" s="29"/>
      <c r="H49" s="10"/>
      <c r="I49" s="27"/>
      <c r="J49" s="27"/>
      <c r="K49" s="31"/>
      <c r="M49" s="10"/>
    </row>
    <row r="50" spans="1:13" ht="12.75" customHeight="1" thickBot="1" x14ac:dyDescent="0.2">
      <c r="B50" s="132" t="s">
        <v>63</v>
      </c>
      <c r="C50" s="106"/>
      <c r="D50" s="106"/>
      <c r="E50" s="106"/>
      <c r="F50" s="106"/>
      <c r="G50" s="16"/>
      <c r="H50" s="106"/>
      <c r="I50" s="106"/>
      <c r="J50" s="107"/>
      <c r="K50" s="106" t="s">
        <v>58</v>
      </c>
      <c r="L50" s="106"/>
      <c r="M50" s="107"/>
    </row>
    <row r="51" spans="1:13" ht="15" customHeight="1" thickBot="1" x14ac:dyDescent="0.2">
      <c r="B51" s="134"/>
      <c r="C51" s="135"/>
      <c r="D51" s="135"/>
      <c r="E51" s="135"/>
      <c r="F51" s="135"/>
      <c r="G51" s="135"/>
      <c r="H51" s="135"/>
      <c r="I51" s="135"/>
      <c r="J51" s="136"/>
      <c r="K51" s="96" t="s">
        <v>60</v>
      </c>
      <c r="L51" s="97"/>
      <c r="M51" s="17" t="s">
        <v>59</v>
      </c>
    </row>
    <row r="52" spans="1:13" ht="15" customHeight="1" x14ac:dyDescent="0.15">
      <c r="B52" s="137"/>
      <c r="C52" s="138"/>
      <c r="D52" s="138"/>
      <c r="E52" s="138"/>
      <c r="F52" s="138"/>
      <c r="G52" s="138"/>
      <c r="H52" s="138"/>
      <c r="I52" s="138"/>
      <c r="J52" s="139"/>
      <c r="K52" s="109"/>
      <c r="L52" s="110"/>
      <c r="M52" s="143"/>
    </row>
    <row r="53" spans="1:13" ht="15" customHeight="1" x14ac:dyDescent="0.15">
      <c r="B53" s="137"/>
      <c r="C53" s="138"/>
      <c r="D53" s="138"/>
      <c r="E53" s="138"/>
      <c r="F53" s="138"/>
      <c r="G53" s="138"/>
      <c r="H53" s="138"/>
      <c r="I53" s="138"/>
      <c r="J53" s="139"/>
      <c r="K53" s="111"/>
      <c r="L53" s="112"/>
      <c r="M53" s="144"/>
    </row>
    <row r="54" spans="1:13" ht="15" customHeight="1" x14ac:dyDescent="0.15">
      <c r="B54" s="137"/>
      <c r="C54" s="138"/>
      <c r="D54" s="138"/>
      <c r="E54" s="138"/>
      <c r="F54" s="138"/>
      <c r="G54" s="138"/>
      <c r="H54" s="138"/>
      <c r="I54" s="138"/>
      <c r="J54" s="139"/>
      <c r="K54" s="111"/>
      <c r="L54" s="112"/>
      <c r="M54" s="144"/>
    </row>
    <row r="55" spans="1:13" ht="15" customHeight="1" x14ac:dyDescent="0.15">
      <c r="B55" s="137"/>
      <c r="C55" s="138"/>
      <c r="D55" s="138"/>
      <c r="E55" s="138"/>
      <c r="F55" s="138"/>
      <c r="G55" s="138"/>
      <c r="H55" s="138"/>
      <c r="I55" s="138"/>
      <c r="J55" s="139"/>
      <c r="K55" s="160"/>
      <c r="L55" s="161"/>
      <c r="M55" s="162"/>
    </row>
    <row r="56" spans="1:13" ht="15" customHeight="1" thickBot="1" x14ac:dyDescent="0.2">
      <c r="B56" s="140"/>
      <c r="C56" s="141"/>
      <c r="D56" s="141"/>
      <c r="E56" s="141"/>
      <c r="F56" s="141"/>
      <c r="G56" s="141"/>
      <c r="H56" s="141"/>
      <c r="I56" s="141"/>
      <c r="J56" s="142"/>
      <c r="K56" s="163"/>
      <c r="L56" s="164"/>
      <c r="M56" s="34"/>
    </row>
    <row r="57" spans="1:13" x14ac:dyDescent="0.15">
      <c r="F57" s="12"/>
      <c r="G57" s="12"/>
      <c r="H57" s="10"/>
      <c r="I57" s="27"/>
      <c r="J57" s="27"/>
      <c r="K57" s="31"/>
      <c r="M57" s="10"/>
    </row>
    <row r="58" spans="1:13" x14ac:dyDescent="0.15">
      <c r="F58" s="12"/>
      <c r="G58" s="12"/>
      <c r="H58" s="10"/>
      <c r="I58" s="27"/>
      <c r="J58" s="27"/>
      <c r="K58" s="31"/>
      <c r="M58" s="10"/>
    </row>
    <row r="59" spans="1:13" x14ac:dyDescent="0.15">
      <c r="C59" s="12"/>
      <c r="D59" s="12"/>
      <c r="E59" s="12"/>
      <c r="F59" s="12"/>
      <c r="G59" s="12"/>
      <c r="H59" s="10"/>
      <c r="I59" s="27"/>
      <c r="J59" s="27"/>
      <c r="K59" s="31"/>
      <c r="M59" s="10"/>
    </row>
    <row r="60" spans="1:13" x14ac:dyDescent="0.15">
      <c r="C60" s="12"/>
      <c r="D60" s="12"/>
      <c r="E60" s="12"/>
      <c r="F60" s="12"/>
      <c r="G60" s="12"/>
      <c r="H60" s="10"/>
      <c r="I60" s="27"/>
      <c r="J60" s="27"/>
      <c r="K60" s="31"/>
      <c r="M60" s="10"/>
    </row>
    <row r="61" spans="1:13" x14ac:dyDescent="0.15">
      <c r="C61" s="12"/>
      <c r="D61" s="12"/>
      <c r="E61" s="12"/>
      <c r="F61" s="12"/>
      <c r="G61" s="12"/>
      <c r="H61" s="10"/>
      <c r="I61" s="27"/>
      <c r="J61" s="27"/>
      <c r="K61" s="31"/>
      <c r="M61" s="10"/>
    </row>
    <row r="62" spans="1:13" x14ac:dyDescent="0.15">
      <c r="C62" s="12"/>
      <c r="D62" s="12"/>
      <c r="E62" s="12"/>
      <c r="F62" s="12"/>
      <c r="G62" s="12"/>
      <c r="H62" s="10"/>
      <c r="I62" s="27"/>
      <c r="J62" s="27"/>
      <c r="K62" s="31"/>
      <c r="M62" s="10"/>
    </row>
    <row r="63" spans="1:13" x14ac:dyDescent="0.15">
      <c r="C63" s="12"/>
      <c r="D63" s="12"/>
      <c r="E63" s="12"/>
      <c r="F63" s="12"/>
      <c r="G63" s="12"/>
      <c r="H63" s="10"/>
      <c r="I63" s="27"/>
      <c r="J63" s="27"/>
      <c r="K63" s="31"/>
      <c r="M63" s="10"/>
    </row>
    <row r="64" spans="1:13" s="11" customFormat="1" x14ac:dyDescent="0.15"/>
    <row r="65" spans="2:13" s="11" customFormat="1" x14ac:dyDescent="0.15"/>
    <row r="66" spans="2:13" s="11" customFormat="1" x14ac:dyDescent="0.15"/>
    <row r="67" spans="2:13" s="11" customFormat="1" x14ac:dyDescent="0.15"/>
    <row r="68" spans="2:13" s="11" customFormat="1" x14ac:dyDescent="0.15"/>
    <row r="69" spans="2:13" s="11" customFormat="1" x14ac:dyDescent="0.15"/>
    <row r="70" spans="2:13" s="11" customFormat="1" x14ac:dyDescent="0.15"/>
    <row r="71" spans="2:13" s="11" customFormat="1" x14ac:dyDescent="0.15">
      <c r="B71" s="12"/>
      <c r="C71" s="12"/>
      <c r="D71" s="12"/>
      <c r="E71" s="12"/>
      <c r="F71" s="12"/>
      <c r="G71" s="12"/>
    </row>
    <row r="72" spans="2:13" s="11" customFormat="1" x14ac:dyDescent="0.15">
      <c r="B72" s="12"/>
      <c r="C72" s="12"/>
      <c r="D72" s="12"/>
      <c r="E72" s="12"/>
      <c r="F72" s="12"/>
      <c r="G72" s="12"/>
    </row>
    <row r="73" spans="2:13" s="11" customFormat="1" x14ac:dyDescent="0.15">
      <c r="B73" s="12"/>
      <c r="C73" s="12"/>
      <c r="D73" s="12"/>
      <c r="E73" s="12"/>
      <c r="F73" s="12"/>
      <c r="G73" s="12"/>
    </row>
    <row r="74" spans="2:13" s="11" customFormat="1" x14ac:dyDescent="0.15">
      <c r="B74" s="12"/>
      <c r="C74" s="12"/>
      <c r="D74" s="12"/>
      <c r="E74" s="12"/>
      <c r="F74" s="12"/>
      <c r="G74" s="12"/>
      <c r="H74" s="14"/>
      <c r="I74" s="14"/>
      <c r="J74" s="14"/>
      <c r="K74" s="14"/>
      <c r="L74" s="14"/>
    </row>
    <row r="75" spans="2:13" s="11" customFormat="1" x14ac:dyDescent="0.15">
      <c r="B75" s="12"/>
      <c r="C75" s="12"/>
      <c r="D75" s="12"/>
      <c r="E75" s="12"/>
      <c r="F75" s="12"/>
      <c r="G75" s="12"/>
      <c r="H75" s="15"/>
      <c r="I75" s="14"/>
      <c r="J75" s="14"/>
      <c r="K75" s="14"/>
      <c r="L75" s="14"/>
    </row>
    <row r="76" spans="2:13" s="11" customFormat="1" x14ac:dyDescent="0.15">
      <c r="B76" s="12"/>
      <c r="C76" s="12"/>
      <c r="D76" s="12"/>
      <c r="E76" s="12"/>
      <c r="F76" s="12"/>
      <c r="G76" s="12"/>
      <c r="H76" s="14"/>
      <c r="I76" s="14"/>
      <c r="J76" s="14"/>
      <c r="K76" s="14"/>
      <c r="L76" s="14"/>
      <c r="M76" s="12"/>
    </row>
    <row r="77" spans="2:13" s="11" customFormat="1" x14ac:dyDescent="0.15">
      <c r="B77" s="12"/>
      <c r="C77" s="12"/>
      <c r="D77" s="12"/>
      <c r="E77" s="12"/>
      <c r="F77" s="12"/>
      <c r="G77" s="12"/>
      <c r="H77" s="12"/>
      <c r="I77" s="12"/>
      <c r="J77" s="12"/>
      <c r="K77" s="12"/>
      <c r="L77" s="12"/>
      <c r="M77" s="12"/>
    </row>
    <row r="78" spans="2:13" s="11" customFormat="1" x14ac:dyDescent="0.15">
      <c r="B78" s="12"/>
      <c r="C78" s="12"/>
      <c r="D78" s="12"/>
      <c r="E78" s="12"/>
      <c r="F78" s="12"/>
      <c r="G78" s="12"/>
      <c r="H78" s="12"/>
      <c r="I78" s="12"/>
      <c r="J78" s="12"/>
      <c r="K78" s="12"/>
      <c r="L78" s="12"/>
      <c r="M78" s="12"/>
    </row>
    <row r="79" spans="2:13" s="11" customFormat="1" x14ac:dyDescent="0.15">
      <c r="B79" s="12"/>
      <c r="C79" s="12"/>
      <c r="D79" s="12"/>
      <c r="E79" s="12"/>
      <c r="F79" s="12"/>
      <c r="G79" s="12"/>
      <c r="H79" s="12"/>
      <c r="I79" s="12"/>
      <c r="J79" s="12"/>
      <c r="K79" s="12"/>
      <c r="L79" s="12"/>
      <c r="M79" s="12"/>
    </row>
    <row r="80" spans="2:13" s="11" customFormat="1" x14ac:dyDescent="0.15">
      <c r="B80" s="12"/>
      <c r="C80" s="12"/>
      <c r="D80" s="12"/>
      <c r="E80" s="12"/>
      <c r="F80" s="12"/>
      <c r="G80" s="12"/>
      <c r="H80" s="12"/>
      <c r="I80" s="12"/>
      <c r="J80" s="12"/>
      <c r="K80" s="12"/>
      <c r="L80" s="12"/>
      <c r="M80" s="12"/>
    </row>
    <row r="81" spans="2:13" s="11" customFormat="1" ht="44.5" customHeight="1" x14ac:dyDescent="0.15">
      <c r="B81" s="12"/>
      <c r="C81" s="12"/>
      <c r="D81" s="12"/>
      <c r="E81" s="12"/>
      <c r="F81" s="12"/>
      <c r="G81" s="12"/>
      <c r="H81" s="12"/>
      <c r="I81" s="12"/>
      <c r="J81" s="12"/>
      <c r="K81" s="12"/>
      <c r="L81" s="12"/>
      <c r="M81" s="12"/>
    </row>
    <row r="82" spans="2:13" s="11" customFormat="1" x14ac:dyDescent="0.15">
      <c r="B82" s="12"/>
      <c r="C82" s="12"/>
      <c r="D82" s="12"/>
      <c r="E82" s="12"/>
      <c r="F82" s="12"/>
      <c r="G82" s="12"/>
      <c r="H82" s="12"/>
      <c r="I82" s="12"/>
      <c r="J82" s="12"/>
      <c r="K82" s="12"/>
      <c r="L82" s="12"/>
      <c r="M82" s="12"/>
    </row>
    <row r="83" spans="2:13" s="11" customFormat="1" x14ac:dyDescent="0.15">
      <c r="B83" s="12"/>
      <c r="C83" s="12"/>
      <c r="D83" s="12"/>
      <c r="E83" s="12"/>
      <c r="F83" s="12"/>
      <c r="G83" s="12"/>
      <c r="H83" s="12"/>
      <c r="I83" s="12"/>
      <c r="J83" s="12"/>
      <c r="K83" s="12"/>
      <c r="L83" s="12"/>
      <c r="M83" s="12"/>
    </row>
    <row r="84" spans="2:13" s="11" customFormat="1" x14ac:dyDescent="0.15">
      <c r="B84" s="12"/>
      <c r="C84" s="12"/>
      <c r="D84" s="12"/>
      <c r="E84" s="12"/>
      <c r="F84" s="12"/>
      <c r="G84" s="12"/>
      <c r="H84" s="12"/>
      <c r="I84" s="12"/>
      <c r="J84" s="12"/>
      <c r="K84" s="12"/>
      <c r="L84" s="12"/>
      <c r="M84" s="12"/>
    </row>
    <row r="85" spans="2:13" s="11" customFormat="1" x14ac:dyDescent="0.15">
      <c r="B85" s="12"/>
      <c r="C85" s="12"/>
      <c r="D85" s="12"/>
      <c r="E85" s="12"/>
      <c r="F85" s="12"/>
      <c r="G85" s="12"/>
      <c r="H85" s="12"/>
      <c r="I85" s="12"/>
      <c r="J85" s="12"/>
      <c r="K85" s="12"/>
      <c r="L85" s="12"/>
      <c r="M85" s="12"/>
    </row>
    <row r="86" spans="2:13" s="11" customFormat="1" x14ac:dyDescent="0.15">
      <c r="B86" s="12"/>
      <c r="C86" s="12"/>
      <c r="D86" s="12"/>
      <c r="E86" s="12"/>
      <c r="F86" s="12"/>
      <c r="G86" s="12"/>
      <c r="H86" s="12"/>
      <c r="I86" s="12"/>
      <c r="J86" s="12"/>
      <c r="K86" s="12"/>
      <c r="L86" s="12"/>
      <c r="M86" s="12"/>
    </row>
    <row r="87" spans="2:13" s="11" customFormat="1" x14ac:dyDescent="0.15">
      <c r="B87" s="12"/>
      <c r="C87" s="12"/>
      <c r="D87" s="12"/>
      <c r="E87" s="12"/>
      <c r="F87" s="12"/>
      <c r="G87" s="12"/>
      <c r="H87" s="12"/>
      <c r="I87" s="12"/>
      <c r="J87" s="12"/>
      <c r="K87" s="12"/>
      <c r="L87" s="12"/>
      <c r="M87" s="12"/>
    </row>
    <row r="88" spans="2:13" s="11" customFormat="1" x14ac:dyDescent="0.15">
      <c r="B88" s="12"/>
      <c r="C88" s="12"/>
      <c r="D88" s="12"/>
      <c r="E88" s="12"/>
      <c r="F88" s="12"/>
      <c r="G88" s="12"/>
      <c r="H88" s="12"/>
      <c r="I88" s="12"/>
      <c r="J88" s="12"/>
      <c r="K88" s="12"/>
      <c r="L88" s="12"/>
      <c r="M88" s="12"/>
    </row>
    <row r="89" spans="2:13" s="11" customFormat="1" x14ac:dyDescent="0.15">
      <c r="B89" s="12"/>
      <c r="C89" s="12"/>
      <c r="D89" s="12"/>
      <c r="E89" s="12"/>
      <c r="F89" s="12"/>
      <c r="G89" s="12"/>
      <c r="H89" s="12"/>
      <c r="I89" s="12"/>
      <c r="J89" s="12"/>
      <c r="K89" s="12"/>
      <c r="L89" s="12"/>
      <c r="M89" s="12"/>
    </row>
    <row r="90" spans="2:13" s="11" customFormat="1" x14ac:dyDescent="0.15">
      <c r="B90" s="12"/>
      <c r="C90" s="12"/>
      <c r="D90" s="12"/>
      <c r="E90" s="12"/>
      <c r="F90" s="12"/>
      <c r="G90" s="12"/>
      <c r="H90" s="12"/>
      <c r="I90" s="12"/>
      <c r="J90" s="12"/>
      <c r="K90" s="12"/>
      <c r="L90" s="12"/>
      <c r="M90" s="12"/>
    </row>
    <row r="91" spans="2:13" s="11" customFormat="1" x14ac:dyDescent="0.15">
      <c r="B91" s="12"/>
      <c r="C91" s="12"/>
      <c r="D91" s="12"/>
      <c r="E91" s="12"/>
      <c r="F91" s="12"/>
      <c r="G91" s="12"/>
      <c r="H91" s="12"/>
      <c r="I91" s="12"/>
      <c r="J91" s="12"/>
      <c r="K91" s="12"/>
      <c r="L91" s="12"/>
      <c r="M91" s="12"/>
    </row>
    <row r="92" spans="2:13" s="11" customFormat="1" x14ac:dyDescent="0.15">
      <c r="B92" s="12"/>
      <c r="C92" s="12"/>
      <c r="D92" s="12"/>
      <c r="E92" s="12"/>
      <c r="F92" s="12"/>
      <c r="G92" s="12"/>
      <c r="H92" s="12"/>
      <c r="I92" s="12"/>
      <c r="J92" s="12"/>
      <c r="K92" s="12"/>
      <c r="L92" s="12"/>
      <c r="M92" s="12"/>
    </row>
    <row r="93" spans="2:13" s="11" customFormat="1" x14ac:dyDescent="0.15">
      <c r="B93" s="12"/>
      <c r="C93" s="12"/>
      <c r="D93" s="12"/>
      <c r="E93" s="12"/>
      <c r="F93" s="12"/>
      <c r="G93" s="12"/>
      <c r="H93" s="12"/>
      <c r="I93" s="12"/>
      <c r="J93" s="12"/>
      <c r="K93" s="12"/>
      <c r="L93" s="12"/>
      <c r="M93" s="12"/>
    </row>
    <row r="94" spans="2:13" s="11" customFormat="1" x14ac:dyDescent="0.15">
      <c r="B94" s="12"/>
      <c r="C94" s="12"/>
      <c r="D94" s="12"/>
      <c r="E94" s="12"/>
      <c r="F94" s="12"/>
      <c r="G94" s="12"/>
      <c r="H94" s="12"/>
      <c r="I94" s="12"/>
      <c r="J94" s="12"/>
      <c r="K94" s="12"/>
      <c r="L94" s="12"/>
      <c r="M94" s="12"/>
    </row>
    <row r="95" spans="2:13" s="11" customFormat="1" x14ac:dyDescent="0.15">
      <c r="B95" s="12"/>
      <c r="C95" s="12"/>
      <c r="D95" s="12"/>
      <c r="E95" s="12"/>
      <c r="F95" s="12"/>
      <c r="G95" s="12"/>
      <c r="H95" s="12"/>
      <c r="I95" s="12"/>
      <c r="J95" s="12"/>
      <c r="K95" s="12"/>
      <c r="L95" s="12"/>
      <c r="M95" s="12"/>
    </row>
    <row r="96" spans="2:13" s="11" customFormat="1" x14ac:dyDescent="0.15">
      <c r="B96" s="12"/>
      <c r="C96" s="12"/>
      <c r="D96" s="12"/>
      <c r="E96" s="12"/>
      <c r="F96" s="12"/>
      <c r="G96" s="12"/>
      <c r="H96" s="12"/>
      <c r="I96" s="12"/>
      <c r="J96" s="12"/>
      <c r="K96" s="12"/>
      <c r="L96" s="12"/>
      <c r="M96" s="12"/>
    </row>
    <row r="97" spans="2:13" s="11" customFormat="1" x14ac:dyDescent="0.15">
      <c r="B97" s="12"/>
      <c r="C97" s="12"/>
      <c r="D97" s="12"/>
      <c r="E97" s="12"/>
      <c r="F97" s="12"/>
      <c r="G97" s="12"/>
      <c r="H97" s="12"/>
      <c r="I97" s="12"/>
      <c r="J97" s="12"/>
      <c r="K97" s="12"/>
      <c r="L97" s="12"/>
      <c r="M97" s="12"/>
    </row>
    <row r="98" spans="2:13" s="11" customFormat="1" x14ac:dyDescent="0.15">
      <c r="B98" s="12"/>
      <c r="C98" s="12"/>
      <c r="D98" s="12"/>
      <c r="E98" s="12"/>
      <c r="F98" s="12"/>
      <c r="G98" s="12"/>
      <c r="H98" s="12"/>
      <c r="I98" s="12"/>
      <c r="J98" s="12"/>
      <c r="K98" s="12"/>
      <c r="L98" s="12"/>
      <c r="M98" s="12"/>
    </row>
    <row r="99" spans="2:13" s="11" customFormat="1" x14ac:dyDescent="0.15">
      <c r="B99" s="12"/>
      <c r="C99" s="12"/>
      <c r="D99" s="12"/>
      <c r="E99" s="12"/>
      <c r="F99" s="12"/>
      <c r="G99" s="12"/>
      <c r="H99" s="12"/>
      <c r="I99" s="12"/>
      <c r="J99" s="12"/>
      <c r="K99" s="12"/>
      <c r="L99" s="12"/>
      <c r="M99" s="12"/>
    </row>
    <row r="100" spans="2:13" s="11" customFormat="1" x14ac:dyDescent="0.15">
      <c r="B100" s="12"/>
      <c r="C100" s="12"/>
      <c r="D100" s="12"/>
      <c r="E100" s="12"/>
      <c r="F100" s="12"/>
      <c r="G100" s="12"/>
      <c r="H100" s="12"/>
      <c r="I100" s="12"/>
      <c r="J100" s="12"/>
      <c r="K100" s="12"/>
      <c r="L100" s="12"/>
      <c r="M100" s="12"/>
    </row>
    <row r="101" spans="2:13" s="11" customFormat="1" x14ac:dyDescent="0.15">
      <c r="B101" s="12"/>
      <c r="C101" s="12"/>
      <c r="D101" s="12"/>
      <c r="E101" s="12"/>
      <c r="F101" s="12"/>
      <c r="G101" s="12"/>
      <c r="H101" s="12"/>
      <c r="I101" s="12"/>
      <c r="J101" s="12"/>
      <c r="K101" s="12"/>
      <c r="L101" s="12"/>
      <c r="M101" s="12"/>
    </row>
    <row r="102" spans="2:13" s="11" customFormat="1" x14ac:dyDescent="0.15">
      <c r="B102" s="12"/>
      <c r="C102" s="12"/>
      <c r="D102" s="12"/>
      <c r="E102" s="12"/>
      <c r="F102" s="12"/>
      <c r="G102" s="12"/>
      <c r="H102" s="12"/>
      <c r="I102" s="12"/>
      <c r="J102" s="12"/>
      <c r="K102" s="12"/>
      <c r="L102" s="12"/>
      <c r="M102" s="12"/>
    </row>
    <row r="103" spans="2:13" s="11" customFormat="1" x14ac:dyDescent="0.15">
      <c r="B103" s="12"/>
      <c r="C103" s="12"/>
      <c r="D103" s="12"/>
      <c r="E103" s="12"/>
      <c r="F103" s="12"/>
      <c r="G103" s="12"/>
      <c r="H103" s="12"/>
      <c r="I103" s="12"/>
      <c r="J103" s="12"/>
      <c r="K103" s="12"/>
      <c r="L103" s="12"/>
      <c r="M103" s="12"/>
    </row>
    <row r="104" spans="2:13" s="11" customFormat="1" x14ac:dyDescent="0.15">
      <c r="B104" s="12"/>
      <c r="C104" s="12"/>
      <c r="D104" s="12"/>
      <c r="E104" s="12"/>
      <c r="F104" s="12"/>
      <c r="G104" s="12"/>
      <c r="H104" s="12"/>
      <c r="I104" s="12"/>
      <c r="J104" s="12"/>
      <c r="K104" s="12"/>
      <c r="L104" s="12"/>
      <c r="M104" s="12"/>
    </row>
    <row r="105" spans="2:13" x14ac:dyDescent="0.15">
      <c r="C105" s="12"/>
      <c r="H105" s="12"/>
      <c r="I105" s="12"/>
      <c r="J105" s="12"/>
      <c r="K105" s="12"/>
      <c r="L105" s="12"/>
      <c r="M105" s="12"/>
    </row>
    <row r="106" spans="2:13" x14ac:dyDescent="0.15">
      <c r="C106" s="12"/>
      <c r="H106" s="12"/>
      <c r="I106" s="12"/>
      <c r="J106" s="12"/>
      <c r="K106" s="12"/>
      <c r="L106" s="12"/>
      <c r="M106" s="12"/>
    </row>
    <row r="107" spans="2:13" x14ac:dyDescent="0.15">
      <c r="H107" s="12"/>
      <c r="I107" s="12"/>
      <c r="J107" s="12"/>
      <c r="K107" s="12"/>
      <c r="L107" s="12"/>
      <c r="M107" s="12"/>
    </row>
    <row r="108" spans="2:13" x14ac:dyDescent="0.15">
      <c r="H108" s="12"/>
      <c r="I108" s="12"/>
      <c r="J108" s="12"/>
      <c r="K108" s="12"/>
      <c r="L108" s="12"/>
      <c r="M108" s="12"/>
    </row>
    <row r="109" spans="2:13" x14ac:dyDescent="0.15">
      <c r="H109" s="12"/>
      <c r="I109" s="12"/>
      <c r="J109" s="12"/>
      <c r="K109" s="12"/>
      <c r="L109" s="12"/>
      <c r="M109" s="12"/>
    </row>
    <row r="110" spans="2:13" x14ac:dyDescent="0.15">
      <c r="H110" s="12"/>
      <c r="I110" s="12"/>
      <c r="J110" s="12"/>
      <c r="K110" s="12"/>
      <c r="L110" s="12"/>
      <c r="M110" s="12"/>
    </row>
    <row r="111" spans="2:13" x14ac:dyDescent="0.15">
      <c r="H111" s="12"/>
      <c r="I111" s="12"/>
      <c r="J111" s="12"/>
      <c r="K111" s="12"/>
      <c r="L111" s="12"/>
      <c r="M111" s="12"/>
    </row>
    <row r="112" spans="2:13" x14ac:dyDescent="0.15">
      <c r="H112" s="12"/>
      <c r="I112" s="12"/>
      <c r="J112" s="12"/>
      <c r="K112" s="12"/>
      <c r="L112" s="12"/>
      <c r="M112" s="12"/>
    </row>
    <row r="113" spans="8:13" x14ac:dyDescent="0.15">
      <c r="H113" s="12"/>
      <c r="I113" s="12"/>
      <c r="J113" s="12"/>
      <c r="K113" s="12"/>
      <c r="L113" s="12"/>
      <c r="M113" s="12"/>
    </row>
    <row r="114" spans="8:13" x14ac:dyDescent="0.15">
      <c r="H114" s="12"/>
      <c r="I114" s="12"/>
      <c r="J114" s="12"/>
      <c r="K114" s="12"/>
      <c r="L114" s="12"/>
      <c r="M114" s="12"/>
    </row>
    <row r="115" spans="8:13" x14ac:dyDescent="0.15">
      <c r="H115" s="12"/>
      <c r="I115" s="12"/>
      <c r="J115" s="12"/>
      <c r="K115" s="12"/>
      <c r="L115" s="12"/>
      <c r="M115" s="12"/>
    </row>
    <row r="116" spans="8:13" x14ac:dyDescent="0.15">
      <c r="H116" s="12"/>
      <c r="I116" s="12"/>
      <c r="J116" s="12"/>
      <c r="K116" s="12"/>
      <c r="L116" s="12"/>
      <c r="M116" s="12"/>
    </row>
    <row r="117" spans="8:13" x14ac:dyDescent="0.15">
      <c r="H117" s="12"/>
      <c r="I117" s="12"/>
      <c r="J117" s="12"/>
      <c r="K117" s="12"/>
      <c r="L117" s="12"/>
      <c r="M117" s="12"/>
    </row>
    <row r="118" spans="8:13" x14ac:dyDescent="0.15">
      <c r="H118" s="12"/>
      <c r="I118" s="12"/>
      <c r="J118" s="12"/>
      <c r="K118" s="12"/>
      <c r="L118" s="12"/>
      <c r="M118" s="12"/>
    </row>
    <row r="119" spans="8:13" x14ac:dyDescent="0.15">
      <c r="H119" s="12"/>
      <c r="I119" s="12"/>
      <c r="J119" s="12"/>
      <c r="K119" s="12"/>
      <c r="L119" s="12"/>
      <c r="M119" s="12"/>
    </row>
    <row r="120" spans="8:13" x14ac:dyDescent="0.15">
      <c r="H120" s="12"/>
      <c r="I120" s="12"/>
      <c r="J120" s="12"/>
      <c r="K120" s="12"/>
      <c r="L120" s="12"/>
      <c r="M120" s="12"/>
    </row>
    <row r="121" spans="8:13" x14ac:dyDescent="0.15">
      <c r="H121" s="12"/>
      <c r="I121" s="12"/>
      <c r="J121" s="12"/>
      <c r="K121" s="12"/>
      <c r="L121" s="12"/>
      <c r="M121" s="12"/>
    </row>
    <row r="122" spans="8:13" x14ac:dyDescent="0.15">
      <c r="H122" s="12"/>
      <c r="I122" s="12"/>
      <c r="J122" s="12"/>
      <c r="K122" s="12"/>
      <c r="L122" s="12"/>
    </row>
    <row r="123" spans="8:13" x14ac:dyDescent="0.15">
      <c r="H123" s="12"/>
      <c r="I123" s="12"/>
      <c r="J123" s="12"/>
      <c r="K123" s="12"/>
      <c r="L123" s="12"/>
    </row>
    <row r="124" spans="8:13" x14ac:dyDescent="0.15">
      <c r="H124" s="12"/>
      <c r="I124" s="12"/>
      <c r="J124" s="12"/>
      <c r="K124" s="12"/>
      <c r="L124" s="12"/>
    </row>
  </sheetData>
  <customSheetViews>
    <customSheetView guid="{56C9F3FB-E1BF-4A84-A9C1-883C4971E148}" scale="85">
      <selection activeCell="B6" sqref="B6:L6"/>
      <pageMargins left="0.23622047244094499" right="0.23622047244094499" top="1.02362204724409" bottom="0.70866141732283505" header="0.511811023622047" footer="0.23622047244094499"/>
      <printOptions horizontalCentered="1"/>
      <pageSetup scale="62" orientation="landscape" r:id="rId1"/>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FF8D058-850F-4928-A8DF-23EAF83DEA90}" scale="85" showPageBreaks="1" printArea="1">
      <selection activeCell="H35" sqref="H35"/>
      <pageMargins left="0.23622047244094499" right="0.23622047244094499" top="1.02362204724409" bottom="0.70866141732283505" header="0.511811023622047" footer="0.23622047244094499"/>
      <printOptions horizontalCentered="1"/>
      <pageSetup scale="62" orientation="landscape" r:id="rId2"/>
      <headerFooter alignWithMargins="0">
        <oddHeader>&amp;L&amp;A
Cepheid Confidential&amp;CD10552 Worksheet&amp;RDocument Number: VD10552
Rev: AL&amp;K000000
Effective: 10/06/2023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0389F900-36E4-47B4-9211-C9631990552B}" showPageBreaks="1" printArea="1" view="pageLayout">
      <selection activeCell="N4" sqref="N4"/>
      <pageMargins left="0.23622047244094499" right="0.23622047244094499" top="1.02362204724409" bottom="0.70866141732283505" header="0.511811023622047" footer="0.23622047244094499"/>
      <printOptions horizontalCentered="1"/>
      <pageSetup scale="62" orientation="landscape" r:id="rId3"/>
      <headerFooter alignWithMargins="0">
        <oddHeader>&amp;L&amp;A
Cepheid Confidential&amp;CD10552 Worksheet&amp;RDocument Number: D10552
Rev: AL.1
Effective: Draft&amp;K000000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 guid="{93D8E372-F7EE-4EF2-BAF9-F99132763C7B}" scale="85" showPageBreaks="1" printArea="1">
      <selection activeCell="B6" sqref="B6:L6"/>
      <pageMargins left="0.23622047244094499" right="0.23622047244094499" top="1.02362204724409" bottom="0.70866141732283505" header="0.511811023622047" footer="0.23622047244094499"/>
      <printOptions horizontalCentered="1"/>
      <pageSetup scale="62" orientation="landscape" r:id="rId4"/>
      <headerFooter alignWithMargins="0">
        <oddHeader>&amp;L&amp;A
Cepheid Confidential&amp;CD10552 Worksheet&amp;RDocument Number: D10552
Rev: AL.1&amp;K000000
Effective: 10/31/2023
Page &amp;P</oddHeader>
        <oddFooter>&amp;CThis document, when printed, is not a controlled document.  It is valid only until its new revision gets released.  The only controlled copy of this document resides in Agile Workplace.  Cepheid Confidential
Date Printed: &amp;D&amp;T</oddFooter>
      </headerFooter>
    </customSheetView>
  </customSheetViews>
  <mergeCells count="185">
    <mergeCell ref="K50:M50"/>
    <mergeCell ref="B51:J56"/>
    <mergeCell ref="K51:L51"/>
    <mergeCell ref="K52:L53"/>
    <mergeCell ref="M52:M53"/>
    <mergeCell ref="K54:L55"/>
    <mergeCell ref="M54:M55"/>
    <mergeCell ref="K56:L56"/>
    <mergeCell ref="B46:C46"/>
    <mergeCell ref="D46:E46"/>
    <mergeCell ref="B47:C48"/>
    <mergeCell ref="D47:E48"/>
    <mergeCell ref="B50:F50"/>
    <mergeCell ref="H50:J50"/>
    <mergeCell ref="L43:L44"/>
    <mergeCell ref="M43:M44"/>
    <mergeCell ref="H45:H46"/>
    <mergeCell ref="I45:I46"/>
    <mergeCell ref="J45:J46"/>
    <mergeCell ref="K45:K46"/>
    <mergeCell ref="L45:L46"/>
    <mergeCell ref="M45:M46"/>
    <mergeCell ref="B42:E42"/>
    <mergeCell ref="B43:E44"/>
    <mergeCell ref="H43:H44"/>
    <mergeCell ref="I43:I44"/>
    <mergeCell ref="J43:J44"/>
    <mergeCell ref="K43:K44"/>
    <mergeCell ref="H41:H42"/>
    <mergeCell ref="I41:I42"/>
    <mergeCell ref="J41:J42"/>
    <mergeCell ref="K41:K42"/>
    <mergeCell ref="L41:L42"/>
    <mergeCell ref="M41:M42"/>
    <mergeCell ref="H39:H40"/>
    <mergeCell ref="I39:I40"/>
    <mergeCell ref="J39:J40"/>
    <mergeCell ref="K39:K40"/>
    <mergeCell ref="L39:L40"/>
    <mergeCell ref="M39:M40"/>
    <mergeCell ref="H37:H38"/>
    <mergeCell ref="I37:I38"/>
    <mergeCell ref="J37:J38"/>
    <mergeCell ref="K37:K38"/>
    <mergeCell ref="L37:L38"/>
    <mergeCell ref="M37:M38"/>
    <mergeCell ref="H35:H36"/>
    <mergeCell ref="I35:I36"/>
    <mergeCell ref="J35:J36"/>
    <mergeCell ref="K35:K36"/>
    <mergeCell ref="L35:L36"/>
    <mergeCell ref="M35:M36"/>
    <mergeCell ref="H33:H34"/>
    <mergeCell ref="I33:I34"/>
    <mergeCell ref="J33:J34"/>
    <mergeCell ref="K33:K34"/>
    <mergeCell ref="L33:L34"/>
    <mergeCell ref="M33:M34"/>
    <mergeCell ref="B27:C28"/>
    <mergeCell ref="D27:E28"/>
    <mergeCell ref="H27:H28"/>
    <mergeCell ref="I27:I28"/>
    <mergeCell ref="J27:J28"/>
    <mergeCell ref="K27:K28"/>
    <mergeCell ref="L27:L28"/>
    <mergeCell ref="M27:M28"/>
    <mergeCell ref="H31:H32"/>
    <mergeCell ref="I31:I32"/>
    <mergeCell ref="J31:J32"/>
    <mergeCell ref="K31:K32"/>
    <mergeCell ref="L31:L32"/>
    <mergeCell ref="M31:M32"/>
    <mergeCell ref="H29:H30"/>
    <mergeCell ref="I29:I30"/>
    <mergeCell ref="J29:J30"/>
    <mergeCell ref="K29:K30"/>
    <mergeCell ref="L29:L30"/>
    <mergeCell ref="M29:M30"/>
    <mergeCell ref="L23:L24"/>
    <mergeCell ref="M23:M24"/>
    <mergeCell ref="B24:C24"/>
    <mergeCell ref="D24:E24"/>
    <mergeCell ref="B25:C26"/>
    <mergeCell ref="D25:E26"/>
    <mergeCell ref="H25:H26"/>
    <mergeCell ref="I25:I26"/>
    <mergeCell ref="J25:J26"/>
    <mergeCell ref="K25:K26"/>
    <mergeCell ref="B22:C23"/>
    <mergeCell ref="D22:E23"/>
    <mergeCell ref="H23:H24"/>
    <mergeCell ref="I23:I24"/>
    <mergeCell ref="J23:J24"/>
    <mergeCell ref="K23:K24"/>
    <mergeCell ref="L25:L26"/>
    <mergeCell ref="M25:M26"/>
    <mergeCell ref="L19:L20"/>
    <mergeCell ref="M19:M20"/>
    <mergeCell ref="B20:C21"/>
    <mergeCell ref="D20:E21"/>
    <mergeCell ref="H21:H22"/>
    <mergeCell ref="I21:I22"/>
    <mergeCell ref="J21:J22"/>
    <mergeCell ref="K21:K22"/>
    <mergeCell ref="L21:L22"/>
    <mergeCell ref="M21:M22"/>
    <mergeCell ref="B19:C19"/>
    <mergeCell ref="D19:E19"/>
    <mergeCell ref="H19:H20"/>
    <mergeCell ref="I19:I20"/>
    <mergeCell ref="J19:J20"/>
    <mergeCell ref="K19:K20"/>
    <mergeCell ref="B13:C13"/>
    <mergeCell ref="D13:E13"/>
    <mergeCell ref="H13:H14"/>
    <mergeCell ref="I13:I14"/>
    <mergeCell ref="J13:J14"/>
    <mergeCell ref="K13:K14"/>
    <mergeCell ref="L13:L14"/>
    <mergeCell ref="M13:M14"/>
    <mergeCell ref="B14:C15"/>
    <mergeCell ref="M15:M16"/>
    <mergeCell ref="B16:C17"/>
    <mergeCell ref="D16:E17"/>
    <mergeCell ref="H17:H18"/>
    <mergeCell ref="I17:I18"/>
    <mergeCell ref="J17:J18"/>
    <mergeCell ref="K17:K18"/>
    <mergeCell ref="L17:L18"/>
    <mergeCell ref="M17:M18"/>
    <mergeCell ref="D14:E15"/>
    <mergeCell ref="H15:H16"/>
    <mergeCell ref="I15:I16"/>
    <mergeCell ref="J15:J16"/>
    <mergeCell ref="K15:K16"/>
    <mergeCell ref="L15:L16"/>
    <mergeCell ref="L9:L10"/>
    <mergeCell ref="M9:M10"/>
    <mergeCell ref="B10:C11"/>
    <mergeCell ref="D10:E11"/>
    <mergeCell ref="F10:F11"/>
    <mergeCell ref="H11:H12"/>
    <mergeCell ref="I11:I12"/>
    <mergeCell ref="J11:J12"/>
    <mergeCell ref="K11:K12"/>
    <mergeCell ref="L11:L12"/>
    <mergeCell ref="B9:C9"/>
    <mergeCell ref="D9:E9"/>
    <mergeCell ref="H9:H10"/>
    <mergeCell ref="I9:I10"/>
    <mergeCell ref="J9:J10"/>
    <mergeCell ref="K9:K10"/>
    <mergeCell ref="M11:M12"/>
    <mergeCell ref="H7:H8"/>
    <mergeCell ref="I7:I8"/>
    <mergeCell ref="J7:J8"/>
    <mergeCell ref="K7:K8"/>
    <mergeCell ref="L7:L8"/>
    <mergeCell ref="M7:M8"/>
    <mergeCell ref="M3:M4"/>
    <mergeCell ref="B5:C5"/>
    <mergeCell ref="D5:F7"/>
    <mergeCell ref="H5:H6"/>
    <mergeCell ref="I5:I6"/>
    <mergeCell ref="J5:J6"/>
    <mergeCell ref="K5:K6"/>
    <mergeCell ref="L5:L6"/>
    <mergeCell ref="M5:M6"/>
    <mergeCell ref="B6:C7"/>
    <mergeCell ref="L1:L2"/>
    <mergeCell ref="M1:M2"/>
    <mergeCell ref="B2:C3"/>
    <mergeCell ref="D2:E3"/>
    <mergeCell ref="F2:F3"/>
    <mergeCell ref="H3:H4"/>
    <mergeCell ref="I3:I4"/>
    <mergeCell ref="J3:J4"/>
    <mergeCell ref="K3:K4"/>
    <mergeCell ref="L3:L4"/>
    <mergeCell ref="B1:C1"/>
    <mergeCell ref="D1:E1"/>
    <mergeCell ref="H1:H2"/>
    <mergeCell ref="I1:I2"/>
    <mergeCell ref="J1:J2"/>
    <mergeCell ref="K1:K2"/>
  </mergeCells>
  <conditionalFormatting sqref="F10">
    <cfRule type="cellIs" dxfId="45" priority="44" stopIfTrue="1" operator="equal">
      <formula>"PASS"</formula>
    </cfRule>
    <cfRule type="cellIs" dxfId="44" priority="43" stopIfTrue="1" operator="equal">
      <formula>"FAIL"</formula>
    </cfRule>
  </conditionalFormatting>
  <conditionalFormatting sqref="L3 L5">
    <cfRule type="cellIs" dxfId="43" priority="42" stopIfTrue="1" operator="equal">
      <formula>"PASS"</formula>
    </cfRule>
    <cfRule type="cellIs" dxfId="42" priority="41" stopIfTrue="1" operator="equal">
      <formula>"FAIL"</formula>
    </cfRule>
  </conditionalFormatting>
  <conditionalFormatting sqref="L7">
    <cfRule type="cellIs" dxfId="41" priority="1" stopIfTrue="1" operator="equal">
      <formula>"FAIL"</formula>
    </cfRule>
    <cfRule type="cellIs" dxfId="40" priority="2" stopIfTrue="1" operator="equal">
      <formula>"PASS"</formula>
    </cfRule>
  </conditionalFormatting>
  <conditionalFormatting sqref="L9">
    <cfRule type="cellIs" dxfId="39" priority="40" stopIfTrue="1" operator="equal">
      <formula>"PASS"</formula>
    </cfRule>
    <cfRule type="cellIs" dxfId="38" priority="39" stopIfTrue="1" operator="equal">
      <formula>"FAIL"</formula>
    </cfRule>
  </conditionalFormatting>
  <conditionalFormatting sqref="L11">
    <cfRule type="cellIs" dxfId="37" priority="38" stopIfTrue="1" operator="equal">
      <formula>"PASS"</formula>
    </cfRule>
    <cfRule type="cellIs" dxfId="36" priority="37" stopIfTrue="1" operator="equal">
      <formula>"FAIL"</formula>
    </cfRule>
  </conditionalFormatting>
  <conditionalFormatting sqref="L13">
    <cfRule type="cellIs" dxfId="35" priority="36" stopIfTrue="1" operator="equal">
      <formula>"PASS"</formula>
    </cfRule>
    <cfRule type="cellIs" dxfId="34" priority="35" stopIfTrue="1" operator="equal">
      <formula>"FAIL"</formula>
    </cfRule>
  </conditionalFormatting>
  <conditionalFormatting sqref="L15">
    <cfRule type="cellIs" dxfId="33" priority="34" stopIfTrue="1" operator="equal">
      <formula>"PASS"</formula>
    </cfRule>
    <cfRule type="cellIs" dxfId="32" priority="33" stopIfTrue="1" operator="equal">
      <formula>"FAIL"</formula>
    </cfRule>
  </conditionalFormatting>
  <conditionalFormatting sqref="L17">
    <cfRule type="cellIs" dxfId="31" priority="32" stopIfTrue="1" operator="equal">
      <formula>"PASS"</formula>
    </cfRule>
    <cfRule type="cellIs" dxfId="30" priority="31" stopIfTrue="1" operator="equal">
      <formula>"FAIL"</formula>
    </cfRule>
  </conditionalFormatting>
  <conditionalFormatting sqref="L19">
    <cfRule type="cellIs" dxfId="29" priority="30" stopIfTrue="1" operator="equal">
      <formula>"PASS"</formula>
    </cfRule>
    <cfRule type="cellIs" dxfId="28" priority="29" stopIfTrue="1" operator="equal">
      <formula>"FAIL"</formula>
    </cfRule>
  </conditionalFormatting>
  <conditionalFormatting sqref="L21">
    <cfRule type="cellIs" dxfId="27" priority="28" stopIfTrue="1" operator="equal">
      <formula>"PASS"</formula>
    </cfRule>
    <cfRule type="cellIs" dxfId="26" priority="27" stopIfTrue="1" operator="equal">
      <formula>"FAIL"</formula>
    </cfRule>
  </conditionalFormatting>
  <conditionalFormatting sqref="L23">
    <cfRule type="cellIs" dxfId="25" priority="26" stopIfTrue="1" operator="equal">
      <formula>"PASS"</formula>
    </cfRule>
    <cfRule type="cellIs" dxfId="24" priority="25" stopIfTrue="1" operator="equal">
      <formula>"FAIL"</formula>
    </cfRule>
  </conditionalFormatting>
  <conditionalFormatting sqref="L25">
    <cfRule type="cellIs" dxfId="23" priority="24" stopIfTrue="1" operator="equal">
      <formula>"PASS"</formula>
    </cfRule>
    <cfRule type="cellIs" dxfId="22" priority="23" stopIfTrue="1" operator="equal">
      <formula>"FAIL"</formula>
    </cfRule>
  </conditionalFormatting>
  <conditionalFormatting sqref="L27">
    <cfRule type="cellIs" dxfId="21" priority="22" stopIfTrue="1" operator="equal">
      <formula>"PASS"</formula>
    </cfRule>
    <cfRule type="cellIs" dxfId="20" priority="21" stopIfTrue="1" operator="equal">
      <formula>"FAIL"</formula>
    </cfRule>
  </conditionalFormatting>
  <conditionalFormatting sqref="L29">
    <cfRule type="cellIs" dxfId="19" priority="20" stopIfTrue="1" operator="equal">
      <formula>"PASS"</formula>
    </cfRule>
    <cfRule type="cellIs" dxfId="18" priority="19" stopIfTrue="1" operator="equal">
      <formula>"FAIL"</formula>
    </cfRule>
  </conditionalFormatting>
  <conditionalFormatting sqref="L31">
    <cfRule type="cellIs" dxfId="17" priority="18" stopIfTrue="1" operator="equal">
      <formula>"PASS"</formula>
    </cfRule>
    <cfRule type="cellIs" dxfId="16" priority="17" stopIfTrue="1" operator="equal">
      <formula>"FAIL"</formula>
    </cfRule>
  </conditionalFormatting>
  <conditionalFormatting sqref="L33">
    <cfRule type="cellIs" dxfId="15" priority="16" stopIfTrue="1" operator="equal">
      <formula>"PASS"</formula>
    </cfRule>
    <cfRule type="cellIs" dxfId="14" priority="15" stopIfTrue="1" operator="equal">
      <formula>"FAIL"</formula>
    </cfRule>
  </conditionalFormatting>
  <conditionalFormatting sqref="L35">
    <cfRule type="cellIs" dxfId="13" priority="14" stopIfTrue="1" operator="equal">
      <formula>"PASS"</formula>
    </cfRule>
    <cfRule type="cellIs" dxfId="12" priority="13" stopIfTrue="1" operator="equal">
      <formula>"FAIL"</formula>
    </cfRule>
  </conditionalFormatting>
  <conditionalFormatting sqref="L37">
    <cfRule type="cellIs" dxfId="11" priority="12" stopIfTrue="1" operator="equal">
      <formula>"PASS"</formula>
    </cfRule>
    <cfRule type="cellIs" dxfId="10" priority="11" stopIfTrue="1" operator="equal">
      <formula>"FAIL"</formula>
    </cfRule>
  </conditionalFormatting>
  <conditionalFormatting sqref="L39">
    <cfRule type="cellIs" dxfId="9" priority="10" stopIfTrue="1" operator="equal">
      <formula>"PASS"</formula>
    </cfRule>
    <cfRule type="cellIs" dxfId="8" priority="9" stopIfTrue="1" operator="equal">
      <formula>"FAIL"</formula>
    </cfRule>
  </conditionalFormatting>
  <conditionalFormatting sqref="L41">
    <cfRule type="cellIs" dxfId="7" priority="8" stopIfTrue="1" operator="equal">
      <formula>"PASS"</formula>
    </cfRule>
    <cfRule type="cellIs" dxfId="6" priority="7" stopIfTrue="1" operator="equal">
      <formula>"FAIL"</formula>
    </cfRule>
  </conditionalFormatting>
  <conditionalFormatting sqref="L43">
    <cfRule type="cellIs" dxfId="5" priority="6" stopIfTrue="1" operator="equal">
      <formula>"PASS"</formula>
    </cfRule>
    <cfRule type="cellIs" dxfId="4" priority="5" stopIfTrue="1" operator="equal">
      <formula>"FAIL"</formula>
    </cfRule>
  </conditionalFormatting>
  <conditionalFormatting sqref="L45">
    <cfRule type="cellIs" dxfId="3" priority="4" stopIfTrue="1" operator="equal">
      <formula>"PASS"</formula>
    </cfRule>
    <cfRule type="cellIs" dxfId="2" priority="3" stopIfTrue="1" operator="equal">
      <formula>"FAIL"</formula>
    </cfRule>
  </conditionalFormatting>
  <conditionalFormatting sqref="L49:L51 L57:L63">
    <cfRule type="cellIs" dxfId="1" priority="45" stopIfTrue="1" operator="equal">
      <formula>"FAIL"</formula>
    </cfRule>
    <cfRule type="cellIs" dxfId="0" priority="46" stopIfTrue="1" operator="equal">
      <formula>"PASS"</formula>
    </cfRule>
  </conditionalFormatting>
  <printOptions horizontalCentered="1"/>
  <pageMargins left="0.23622047244094499" right="0.23622047244094499" top="1.02362204724409" bottom="0.70866141732283505" header="0.511811023622047" footer="0.23622047244094499"/>
  <pageSetup scale="62" orientation="landscape" r:id="rId5"/>
  <headerFooter alignWithMargins="0">
    <oddHeader>&amp;L&amp;A
Cepheid Confidential&amp;CD10552 Worksheet&amp;RDocument Number: D10552
Rev: AN&amp;K000000
Effective: 3/4/2024
Page &amp;P</oddHeader>
    <oddFooter>&amp;CThis document, when printed, is not a controlled document.  It is valid only until its new revision gets released.  The only controlled copy of this document resides in Agile Workplace.  Cepheid Confidential
Date Printed: &amp;D&amp;T</oddFooter>
  </headerFooter>
  <drawing r:id="rId6"/>
  <legacyDrawing r:id="rId7"/>
  <mc:AlternateContent xmlns:mc="http://schemas.openxmlformats.org/markup-compatibility/2006">
    <mc:Choice Requires="x14">
      <controls>
        <mc:AlternateContent xmlns:mc="http://schemas.openxmlformats.org/markup-compatibility/2006">
          <mc:Choice Requires="x14">
            <control shapeId="115713" r:id="rId8" name="Check Box 1">
              <controlPr locked="0" defaultSize="0" autoFill="0" autoLine="0" autoPict="0">
                <anchor moveWithCells="1">
                  <from>
                    <xdr:col>7</xdr:col>
                    <xdr:colOff>266700</xdr:colOff>
                    <xdr:row>48</xdr:row>
                    <xdr:rowOff>139700</xdr:rowOff>
                  </from>
                  <to>
                    <xdr:col>7</xdr:col>
                    <xdr:colOff>1130300</xdr:colOff>
                    <xdr:row>50</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71FA3A65-4DBA-4897-BE9A-8AD315D38931}">
          <x14:formula1>
            <xm:f>'Worksheet Instructions'!H$16:H$29</xm:f>
          </x14:formula1>
          <xm:sqref>M3:M46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C510EB6780A44BB1530580E8E838EC" ma:contentTypeVersion="16" ma:contentTypeDescription="Create a new document." ma:contentTypeScope="" ma:versionID="ffd75db95debb6bbf273913cd7566f3e">
  <xsd:schema xmlns:xsd="http://www.w3.org/2001/XMLSchema" xmlns:xs="http://www.w3.org/2001/XMLSchema" xmlns:p="http://schemas.microsoft.com/office/2006/metadata/properties" xmlns:ns2="d1a0d1cf-7e35-49be-9c83-f4affe26c6c2" xmlns:ns3="e15fa103-10f9-44e8-84b9-0adc7421dd47" targetNamespace="http://schemas.microsoft.com/office/2006/metadata/properties" ma:root="true" ma:fieldsID="4705031414594bc05cdca7487cd2721d" ns2:_="" ns3:_="">
    <xsd:import namespace="d1a0d1cf-7e35-49be-9c83-f4affe26c6c2"/>
    <xsd:import namespace="e15fa103-10f9-44e8-84b9-0adc7421dd4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Tags" minOccurs="0"/>
                <xsd:element ref="ns2:MediaServiceOCR"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a0d1cf-7e35-49be-9c83-f4affe26c6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893bb2c-950b-4672-b623-c5bc4517d6a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15fa103-10f9-44e8-84b9-0adc7421dd4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a8f18f5-cadb-450a-95c8-3723c9582ace}" ma:internalName="TaxCatchAll" ma:showField="CatchAllData" ma:web="e15fa103-10f9-44e8-84b9-0adc7421dd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e15fa103-10f9-44e8-84b9-0adc7421dd47">
      <UserInfo>
        <DisplayName/>
        <AccountId xsi:nil="true"/>
        <AccountType/>
      </UserInfo>
    </SharedWithUsers>
    <lcf76f155ced4ddcb4097134ff3c332f xmlns="d1a0d1cf-7e35-49be-9c83-f4affe26c6c2">
      <Terms xmlns="http://schemas.microsoft.com/office/infopath/2007/PartnerControls"/>
    </lcf76f155ced4ddcb4097134ff3c332f>
    <TaxCatchAll xmlns="e15fa103-10f9-44e8-84b9-0adc7421dd4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84E79F-FA06-4110-94FD-E35BC2EC6B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a0d1cf-7e35-49be-9c83-f4affe26c6c2"/>
    <ds:schemaRef ds:uri="e15fa103-10f9-44e8-84b9-0adc7421dd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06E079-1759-4F2E-BF51-78B62E8BEAB3}">
  <ds:schemaRefs>
    <ds:schemaRef ds:uri="http://purl.org/dc/dcmitype/"/>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 ds:uri="d1a0d1cf-7e35-49be-9c83-f4affe26c6c2"/>
    <ds:schemaRef ds:uri="http://schemas.microsoft.com/office/infopath/2007/PartnerControls"/>
    <ds:schemaRef ds:uri="e15fa103-10f9-44e8-84b9-0adc7421dd47"/>
    <ds:schemaRef ds:uri="http://purl.org/dc/terms/"/>
    <ds:schemaRef ds:uri="http://purl.org/dc/elements/1.1/"/>
  </ds:schemaRefs>
</ds:datastoreItem>
</file>

<file path=customXml/itemProps3.xml><?xml version="1.0" encoding="utf-8"?>
<ds:datastoreItem xmlns:ds="http://schemas.openxmlformats.org/officeDocument/2006/customXml" ds:itemID="{0A009767-8E54-4A91-B2B7-157CD17DC1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Kalkylblad</vt:lpstr>
      </vt:variant>
      <vt:variant>
        <vt:i4>14</vt:i4>
      </vt:variant>
      <vt:variant>
        <vt:lpstr>Namngivna områden</vt:lpstr>
      </vt:variant>
      <vt:variant>
        <vt:i4>15</vt:i4>
      </vt:variant>
    </vt:vector>
  </HeadingPairs>
  <TitlesOfParts>
    <vt:vector size="29" baseType="lpstr">
      <vt:lpstr>Worksheet Instructions</vt:lpstr>
      <vt:lpstr>Datasheet (1)</vt:lpstr>
      <vt:lpstr>Datasheet (2)</vt:lpstr>
      <vt:lpstr>Datasheet (3)</vt:lpstr>
      <vt:lpstr>Datasheet (4)</vt:lpstr>
      <vt:lpstr>Datasheet (5)</vt:lpstr>
      <vt:lpstr>Datasheet (6)</vt:lpstr>
      <vt:lpstr>Datasheet (7)</vt:lpstr>
      <vt:lpstr>Datasheet (8)</vt:lpstr>
      <vt:lpstr>Datasheet (9)</vt:lpstr>
      <vt:lpstr>Datasheet (10)</vt:lpstr>
      <vt:lpstr>Replacement Cartridge (11)</vt:lpstr>
      <vt:lpstr>Replacement Cartridge (12)</vt:lpstr>
      <vt:lpstr>Replacement Cartridge (13)</vt:lpstr>
      <vt:lpstr>'Worksheet Instructions'!ROBAL</vt:lpstr>
      <vt:lpstr>'Datasheet (1)'!Utskriftsområde</vt:lpstr>
      <vt:lpstr>'Datasheet (10)'!Utskriftsområde</vt:lpstr>
      <vt:lpstr>'Datasheet (2)'!Utskriftsområde</vt:lpstr>
      <vt:lpstr>'Datasheet (3)'!Utskriftsområde</vt:lpstr>
      <vt:lpstr>'Datasheet (4)'!Utskriftsområde</vt:lpstr>
      <vt:lpstr>'Datasheet (5)'!Utskriftsområde</vt:lpstr>
      <vt:lpstr>'Datasheet (6)'!Utskriftsområde</vt:lpstr>
      <vt:lpstr>'Datasheet (7)'!Utskriftsområde</vt:lpstr>
      <vt:lpstr>'Datasheet (8)'!Utskriftsområde</vt:lpstr>
      <vt:lpstr>'Datasheet (9)'!Utskriftsområde</vt:lpstr>
      <vt:lpstr>'Replacement Cartridge (11)'!Utskriftsområde</vt:lpstr>
      <vt:lpstr>'Replacement Cartridge (12)'!Utskriftsområde</vt:lpstr>
      <vt:lpstr>'Replacement Cartridge (13)'!Utskriftsområde</vt:lpstr>
      <vt:lpstr>'Worksheet Instructions'!Utskriftsområde</vt:lpstr>
    </vt:vector>
  </TitlesOfParts>
  <Company>Cepheid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dc:creator>
  <cp:lastModifiedBy>Jesper Fredriksson</cp:lastModifiedBy>
  <cp:lastPrinted>2021-06-16T21:10:54Z</cp:lastPrinted>
  <dcterms:created xsi:type="dcterms:W3CDTF">2007-08-16T23:06:11Z</dcterms:created>
  <dcterms:modified xsi:type="dcterms:W3CDTF">2025-11-20T23:12:08Z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0x010100D6C510EB6780A44BB1530580E8E838EC</vt:lpwstr>
  </property>
  <property fmtid="{D5CDD505-2E9C-101B-9397-08002B2CF9AE}" pid="3" name="ComplianceAssetId">
    <vt:lpwstr/>
  </property>
  <property fmtid="{D5CDD505-2E9C-101B-9397-08002B2CF9AE}" pid="4" name="_ExtendedDescription">
    <vt:lpwstr/>
  </property>
  <property fmtid="{D5CDD505-2E9C-101B-9397-08002B2CF9AE}" pid="5" name="MSIP_Label_f48041ff-f5de-4583-8841-e2a1851ee5d2_Enabled">
    <vt:lpwstr>true</vt:lpwstr>
  </property>
  <property fmtid="{D5CDD505-2E9C-101B-9397-08002B2CF9AE}" pid="6" name="MSIP_Label_f48041ff-f5de-4583-8841-e2a1851ee5d2_SetDate">
    <vt:lpwstr>2022-12-09T21:46:27Z</vt:lpwstr>
  </property>
  <property fmtid="{D5CDD505-2E9C-101B-9397-08002B2CF9AE}" pid="7" name="MSIP_Label_f48041ff-f5de-4583-8841-e2a1851ee5d2_Method">
    <vt:lpwstr>Privileged</vt:lpwstr>
  </property>
  <property fmtid="{D5CDD505-2E9C-101B-9397-08002B2CF9AE}" pid="8" name="MSIP_Label_f48041ff-f5de-4583-8841-e2a1851ee5d2_Name">
    <vt:lpwstr>Confidential</vt:lpwstr>
  </property>
  <property fmtid="{D5CDD505-2E9C-101B-9397-08002B2CF9AE}" pid="9" name="MSIP_Label_f48041ff-f5de-4583-8841-e2a1851ee5d2_SiteId">
    <vt:lpwstr>771c9c47-7f24-44dc-958e-34f8713a8394</vt:lpwstr>
  </property>
  <property fmtid="{D5CDD505-2E9C-101B-9397-08002B2CF9AE}" pid="10" name="MSIP_Label_f48041ff-f5de-4583-8841-e2a1851ee5d2_ActionId">
    <vt:lpwstr>9cb0fce8-8fd2-4964-9ebc-8d06dd796683</vt:lpwstr>
  </property>
  <property fmtid="{D5CDD505-2E9C-101B-9397-08002B2CF9AE}" pid="11" name="MSIP_Label_f48041ff-f5de-4583-8841-e2a1851ee5d2_ContentBits">
    <vt:lpwstr>2</vt:lpwstr>
  </property>
</Properties>
</file>